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esktop\E1x\"/>
    </mc:Choice>
  </mc:AlternateContent>
  <xr:revisionPtr revIDLastSave="0" documentId="13_ncr:1_{2F715558-1AFC-4C6A-A41E-9513457C1C6C}" xr6:coauthVersionLast="47" xr6:coauthVersionMax="47" xr10:uidLastSave="{00000000-0000-0000-0000-000000000000}"/>
  <bookViews>
    <workbookView xWindow="-110" yWindow="-110" windowWidth="19420" windowHeight="10420" tabRatio="763" activeTab="5" xr2:uid="{C04D582A-0481-443E-9E99-7637A0E21EFC}"/>
  </bookViews>
  <sheets>
    <sheet name="SalesRep_Insights" sheetId="3" r:id="rId1"/>
    <sheet name="Regions_Insight" sheetId="5" r:id="rId2"/>
    <sheet name="Items_Insights" sheetId="6" r:id="rId3"/>
    <sheet name="Perf. Overtime" sheetId="7" r:id="rId4"/>
    <sheet name="E1x_Store" sheetId="2" r:id="rId5"/>
    <sheet name="DASHBOARD" sheetId="8" r:id="rId6"/>
    <sheet name="E1X_Store (2)" sheetId="1" state="hidden" r:id="rId7"/>
  </sheets>
  <definedNames>
    <definedName name="ExternalData_1" localSheetId="4" hidden="1">E1x_Store!$A$1:$I$44</definedName>
    <definedName name="Slicer_Item">#N/A</definedName>
    <definedName name="Slicer_Months__OrderDate">#N/A</definedName>
    <definedName name="Slicer_Quarters__OrderDate">#N/A</definedName>
    <definedName name="Slicer_Region">#N/A</definedName>
    <definedName name="Slicer_Rep">#N/A</definedName>
    <definedName name="Slicer_Years__Order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7" l="1"/>
  <c r="A19" i="7"/>
  <c r="A18" i="7"/>
  <c r="B20" i="7"/>
  <c r="B19" i="7"/>
  <c r="B1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27C30-6018-4A29-BC92-CBE2F5CACB4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<sst xmlns="http://schemas.openxmlformats.org/spreadsheetml/2006/main" count="451" uniqueCount="73">
  <si>
    <t>OrderDate</t>
  </si>
  <si>
    <t>Region</t>
  </si>
  <si>
    <t>Rep</t>
  </si>
  <si>
    <t>Item</t>
  </si>
  <si>
    <t>Units</t>
  </si>
  <si>
    <t>Unit Cost</t>
  </si>
  <si>
    <t>East</t>
  </si>
  <si>
    <t>Jones</t>
  </si>
  <si>
    <t>Pencil</t>
  </si>
  <si>
    <t>Central</t>
  </si>
  <si>
    <t>Kivell</t>
  </si>
  <si>
    <t>Binder</t>
  </si>
  <si>
    <t>Jardine</t>
  </si>
  <si>
    <t>Gill</t>
  </si>
  <si>
    <t>Pen</t>
  </si>
  <si>
    <t>West</t>
  </si>
  <si>
    <t>Sorvino</t>
  </si>
  <si>
    <t>pencil</t>
  </si>
  <si>
    <t>jones</t>
  </si>
  <si>
    <t>Andrews</t>
  </si>
  <si>
    <t>Thompson</t>
  </si>
  <si>
    <t>Morgan</t>
  </si>
  <si>
    <t>Howard</t>
  </si>
  <si>
    <t>Parent</t>
  </si>
  <si>
    <t>Smith</t>
  </si>
  <si>
    <t>Desk</t>
  </si>
  <si>
    <t>Pen Set</t>
  </si>
  <si>
    <t>east</t>
  </si>
  <si>
    <t>parent</t>
  </si>
  <si>
    <t>gill</t>
  </si>
  <si>
    <t>west</t>
  </si>
  <si>
    <t>binder</t>
  </si>
  <si>
    <t>Month_Number</t>
  </si>
  <si>
    <t>Month_Name</t>
  </si>
  <si>
    <t>Total</t>
  </si>
  <si>
    <t>Jan</t>
  </si>
  <si>
    <t>Feb</t>
  </si>
  <si>
    <t>Mar</t>
  </si>
  <si>
    <t>Apr</t>
  </si>
  <si>
    <t>May</t>
  </si>
  <si>
    <t>Jun</t>
  </si>
  <si>
    <t>Jul</t>
  </si>
  <si>
    <t>Aug</t>
  </si>
  <si>
    <t>Sep</t>
  </si>
  <si>
    <t>Oct</t>
  </si>
  <si>
    <t>Nov</t>
  </si>
  <si>
    <t>Dec</t>
  </si>
  <si>
    <t>Row Labels</t>
  </si>
  <si>
    <t>Grand Total</t>
  </si>
  <si>
    <t>2021</t>
  </si>
  <si>
    <t>2022</t>
  </si>
  <si>
    <t>Qtr1</t>
  </si>
  <si>
    <t>Qtr2</t>
  </si>
  <si>
    <t>Qtr3</t>
  </si>
  <si>
    <t>Qtr4</t>
  </si>
  <si>
    <t>Regions by Total Sales</t>
  </si>
  <si>
    <t>Regions By Total Orders</t>
  </si>
  <si>
    <t>Regions By Total Units</t>
  </si>
  <si>
    <t>Items By Total Sales</t>
  </si>
  <si>
    <t>Items By Total Units</t>
  </si>
  <si>
    <t>Items By Total Orders</t>
  </si>
  <si>
    <t>Perf. Overtime - Total Sales</t>
  </si>
  <si>
    <t>Perf. Overtime - Total Units</t>
  </si>
  <si>
    <t>Perf. Overtime - Total Orders</t>
  </si>
  <si>
    <t>Reps By Total Sales</t>
  </si>
  <si>
    <t>Reps By Total Units</t>
  </si>
  <si>
    <t>Reps By Total Orders</t>
  </si>
  <si>
    <t>Reps</t>
  </si>
  <si>
    <t>Total Sales</t>
  </si>
  <si>
    <t>Total Units</t>
  </si>
  <si>
    <t>Total Orders</t>
  </si>
  <si>
    <t>Period</t>
  </si>
  <si>
    <t>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</si>
</sst>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FF0000"/>
      <name val="Century Gothic"/>
      <family val="2"/>
    </font>
    <font>
      <sz val="11"/>
      <color theme="1"/>
      <name val="Century Gothic"/>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164" fontId="0" fillId="0" borderId="0" xfId="42" applyNumberFormat="1" applyFont="1"/>
    <xf numFmtId="44" fontId="0" fillId="0" borderId="0" xfId="43" applyFont="1"/>
    <xf numFmtId="0" fontId="0" fillId="0" borderId="0" xfId="0" applyAlignment="1">
      <alignment horizontal="center"/>
    </xf>
    <xf numFmtId="0" fontId="18" fillId="33" borderId="0" xfId="0" applyFont="1" applyFill="1" applyAlignment="1">
      <alignment horizontal="center"/>
    </xf>
    <xf numFmtId="0" fontId="19" fillId="0" borderId="0" xfId="0" applyFont="1"/>
    <xf numFmtId="0" fontId="19" fillId="33" borderId="0" xfId="0" applyFont="1" applyFill="1"/>
    <xf numFmtId="0" fontId="19" fillId="34"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9" formatCode="m/d/yyyy"/>
    </dxf>
    <dxf>
      <numFmt numFmtId="0" formatCode="General"/>
    </dxf>
    <dxf>
      <numFmt numFmtId="0" formatCode="General"/>
    </dxf>
    <dxf>
      <numFmt numFmtId="0" formatCode="General"/>
    </dxf>
    <dxf>
      <numFmt numFmtId="0" formatCode="General"/>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SalesRep_Insights!$A$4:$A$15</c:f>
              <c:strCache>
                <c:ptCount val="11"/>
                <c:pt idx="0">
                  <c:v>Kivell</c:v>
                </c:pt>
                <c:pt idx="1">
                  <c:v>Parent</c:v>
                </c:pt>
                <c:pt idx="2">
                  <c:v>Jardine</c:v>
                </c:pt>
                <c:pt idx="3">
                  <c:v>Jones</c:v>
                </c:pt>
                <c:pt idx="4">
                  <c:v>Gill</c:v>
                </c:pt>
                <c:pt idx="5">
                  <c:v>Smith</c:v>
                </c:pt>
                <c:pt idx="6">
                  <c:v>Morgan</c:v>
                </c:pt>
                <c:pt idx="7">
                  <c:v>Sorvino</c:v>
                </c:pt>
                <c:pt idx="8">
                  <c:v>Thompson</c:v>
                </c:pt>
                <c:pt idx="9">
                  <c:v>Howard</c:v>
                </c:pt>
                <c:pt idx="10">
                  <c:v>Andrews</c:v>
                </c:pt>
              </c:strCache>
            </c:strRef>
          </c:cat>
          <c:val>
            <c:numRef>
              <c:f>SalesRep_Insights!$B$4:$B$15</c:f>
              <c:numCache>
                <c:formatCode>_("$"* #,##0.00_);_("$"* \(#,##0.00\);_("$"* "-"??_);_(@_)</c:formatCode>
                <c:ptCount val="11"/>
                <c:pt idx="0">
                  <c:v>3109.44</c:v>
                </c:pt>
                <c:pt idx="1">
                  <c:v>3102.3</c:v>
                </c:pt>
                <c:pt idx="2">
                  <c:v>2812.19</c:v>
                </c:pt>
                <c:pt idx="3">
                  <c:v>2363.04</c:v>
                </c:pt>
                <c:pt idx="4">
                  <c:v>1749.8700000000001</c:v>
                </c:pt>
                <c:pt idx="5">
                  <c:v>1641.43</c:v>
                </c:pt>
                <c:pt idx="6">
                  <c:v>1387.77</c:v>
                </c:pt>
                <c:pt idx="7">
                  <c:v>1283.6099999999999</c:v>
                </c:pt>
                <c:pt idx="8">
                  <c:v>1203.1100000000001</c:v>
                </c:pt>
                <c:pt idx="9">
                  <c:v>536.75</c:v>
                </c:pt>
                <c:pt idx="10">
                  <c:v>438.37</c:v>
                </c:pt>
              </c:numCache>
            </c:numRef>
          </c:val>
          <c:extLst>
            <c:ext xmlns:c16="http://schemas.microsoft.com/office/drawing/2014/chart" uri="{C3380CC4-5D6E-409C-BE32-E72D297353CC}">
              <c16:uniqueId val="{00000000-D3B7-4776-8FFD-68B87560CAA6}"/>
            </c:ext>
          </c:extLst>
        </c:ser>
        <c:dLbls>
          <c:dLblPos val="outEnd"/>
          <c:showLegendKey val="0"/>
          <c:showVal val="1"/>
          <c:showCatName val="0"/>
          <c:showSerName val="0"/>
          <c:showPercent val="0"/>
          <c:showBubbleSize val="0"/>
        </c:dLbls>
        <c:gapWidth val="182"/>
        <c:axId val="593409520"/>
        <c:axId val="593408560"/>
      </c:barChart>
      <c:catAx>
        <c:axId val="59340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08560"/>
        <c:crosses val="autoZero"/>
        <c:auto val="1"/>
        <c:lblAlgn val="ctr"/>
        <c:lblOffset val="100"/>
        <c:noMultiLvlLbl val="0"/>
      </c:catAx>
      <c:valAx>
        <c:axId val="593408560"/>
        <c:scaling>
          <c:orientation val="minMax"/>
        </c:scaling>
        <c:delete val="1"/>
        <c:axPos val="b"/>
        <c:numFmt formatCode="_(&quot;$&quot;* #,##0.00_);_(&quot;$&quot;* \(#,##0.00\);_(&quot;$&quot;* &quot;-&quot;??_);_(@_)" sourceLinked="1"/>
        <c:majorTickMark val="none"/>
        <c:minorTickMark val="none"/>
        <c:tickLblPos val="nextTo"/>
        <c:crossAx val="59340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a:t>
            </a:r>
            <a:r>
              <a:rPr lang="en-US" baseline="0"/>
              <a:t> By Total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SalesRep_Insights!$D$4:$D$15</c:f>
              <c:strCache>
                <c:ptCount val="11"/>
                <c:pt idx="0">
                  <c:v>Jones</c:v>
                </c:pt>
                <c:pt idx="1">
                  <c:v>Jardine</c:v>
                </c:pt>
                <c:pt idx="2">
                  <c:v>Gill</c:v>
                </c:pt>
                <c:pt idx="3">
                  <c:v>Kivell</c:v>
                </c:pt>
                <c:pt idx="4">
                  <c:v>Andrews</c:v>
                </c:pt>
                <c:pt idx="5">
                  <c:v>Morgan</c:v>
                </c:pt>
                <c:pt idx="6">
                  <c:v>Parent</c:v>
                </c:pt>
                <c:pt idx="7">
                  <c:v>Smith</c:v>
                </c:pt>
                <c:pt idx="8">
                  <c:v>Sorvino</c:v>
                </c:pt>
                <c:pt idx="9">
                  <c:v>Howard</c:v>
                </c:pt>
                <c:pt idx="10">
                  <c:v>Thompson</c:v>
                </c:pt>
              </c:strCache>
            </c:strRef>
          </c:cat>
          <c:val>
            <c:numRef>
              <c:f>SalesRep_Insights!$E$4:$E$15</c:f>
              <c:numCache>
                <c:formatCode>General</c:formatCode>
                <c:ptCount val="11"/>
                <c:pt idx="0">
                  <c:v>396</c:v>
                </c:pt>
                <c:pt idx="1">
                  <c:v>281</c:v>
                </c:pt>
                <c:pt idx="2">
                  <c:v>213</c:v>
                </c:pt>
                <c:pt idx="3">
                  <c:v>193</c:v>
                </c:pt>
                <c:pt idx="4">
                  <c:v>183</c:v>
                </c:pt>
                <c:pt idx="5">
                  <c:v>173</c:v>
                </c:pt>
                <c:pt idx="6">
                  <c:v>170</c:v>
                </c:pt>
                <c:pt idx="7">
                  <c:v>156</c:v>
                </c:pt>
                <c:pt idx="8">
                  <c:v>142</c:v>
                </c:pt>
                <c:pt idx="9">
                  <c:v>125</c:v>
                </c:pt>
                <c:pt idx="10">
                  <c:v>89</c:v>
                </c:pt>
              </c:numCache>
            </c:numRef>
          </c:val>
          <c:extLst>
            <c:ext xmlns:c16="http://schemas.microsoft.com/office/drawing/2014/chart" uri="{C3380CC4-5D6E-409C-BE32-E72D297353CC}">
              <c16:uniqueId val="{00000000-AD4E-4E99-B38D-7644B1D0916A}"/>
            </c:ext>
          </c:extLst>
        </c:ser>
        <c:dLbls>
          <c:dLblPos val="outEnd"/>
          <c:showLegendKey val="0"/>
          <c:showVal val="1"/>
          <c:showCatName val="0"/>
          <c:showSerName val="0"/>
          <c:showPercent val="0"/>
          <c:showBubbleSize val="0"/>
        </c:dLbls>
        <c:gapWidth val="182"/>
        <c:axId val="593375440"/>
        <c:axId val="593345200"/>
      </c:barChart>
      <c:catAx>
        <c:axId val="59337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45200"/>
        <c:crosses val="autoZero"/>
        <c:auto val="1"/>
        <c:lblAlgn val="ctr"/>
        <c:lblOffset val="100"/>
        <c:noMultiLvlLbl val="0"/>
      </c:catAx>
      <c:valAx>
        <c:axId val="593345200"/>
        <c:scaling>
          <c:orientation val="minMax"/>
        </c:scaling>
        <c:delete val="1"/>
        <c:axPos val="b"/>
        <c:numFmt formatCode="General" sourceLinked="1"/>
        <c:majorTickMark val="none"/>
        <c:minorTickMark val="none"/>
        <c:tickLblPos val="nextTo"/>
        <c:crossAx val="5933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SalesRep_Insights!$G$4:$G$15</c:f>
              <c:strCache>
                <c:ptCount val="11"/>
                <c:pt idx="0">
                  <c:v>Jones</c:v>
                </c:pt>
                <c:pt idx="1">
                  <c:v>Gill</c:v>
                </c:pt>
                <c:pt idx="2">
                  <c:v>Jardine</c:v>
                </c:pt>
                <c:pt idx="3">
                  <c:v>Andrews</c:v>
                </c:pt>
                <c:pt idx="4">
                  <c:v>Sorvino</c:v>
                </c:pt>
                <c:pt idx="5">
                  <c:v>Kivell</c:v>
                </c:pt>
                <c:pt idx="6">
                  <c:v>Parent</c:v>
                </c:pt>
                <c:pt idx="7">
                  <c:v>Morgan</c:v>
                </c:pt>
                <c:pt idx="8">
                  <c:v>Smith</c:v>
                </c:pt>
                <c:pt idx="9">
                  <c:v>Thompson</c:v>
                </c:pt>
                <c:pt idx="10">
                  <c:v>Howard</c:v>
                </c:pt>
              </c:strCache>
            </c:strRef>
          </c:cat>
          <c:val>
            <c:numRef>
              <c:f>SalesRep_Insights!$H$4:$H$15</c:f>
              <c:numCache>
                <c:formatCode>General</c:formatCode>
                <c:ptCount val="11"/>
                <c:pt idx="0">
                  <c:v>8</c:v>
                </c:pt>
                <c:pt idx="1">
                  <c:v>5</c:v>
                </c:pt>
                <c:pt idx="2">
                  <c:v>5</c:v>
                </c:pt>
                <c:pt idx="3">
                  <c:v>4</c:v>
                </c:pt>
                <c:pt idx="4">
                  <c:v>4</c:v>
                </c:pt>
                <c:pt idx="5">
                  <c:v>4</c:v>
                </c:pt>
                <c:pt idx="6">
                  <c:v>3</c:v>
                </c:pt>
                <c:pt idx="7">
                  <c:v>3</c:v>
                </c:pt>
                <c:pt idx="8">
                  <c:v>3</c:v>
                </c:pt>
                <c:pt idx="9">
                  <c:v>2</c:v>
                </c:pt>
                <c:pt idx="10">
                  <c:v>2</c:v>
                </c:pt>
              </c:numCache>
            </c:numRef>
          </c:val>
          <c:extLst>
            <c:ext xmlns:c16="http://schemas.microsoft.com/office/drawing/2014/chart" uri="{C3380CC4-5D6E-409C-BE32-E72D297353CC}">
              <c16:uniqueId val="{00000000-1555-4BD8-B716-9E2A5B39A583}"/>
            </c:ext>
          </c:extLst>
        </c:ser>
        <c:dLbls>
          <c:dLblPos val="outEnd"/>
          <c:showLegendKey val="0"/>
          <c:showVal val="1"/>
          <c:showCatName val="0"/>
          <c:showSerName val="0"/>
          <c:showPercent val="0"/>
          <c:showBubbleSize val="0"/>
        </c:dLbls>
        <c:gapWidth val="182"/>
        <c:axId val="593372560"/>
        <c:axId val="593371600"/>
      </c:barChart>
      <c:catAx>
        <c:axId val="59337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71600"/>
        <c:crosses val="autoZero"/>
        <c:auto val="1"/>
        <c:lblAlgn val="ctr"/>
        <c:lblOffset val="100"/>
        <c:noMultiLvlLbl val="0"/>
      </c:catAx>
      <c:valAx>
        <c:axId val="593371600"/>
        <c:scaling>
          <c:orientation val="minMax"/>
        </c:scaling>
        <c:delete val="1"/>
        <c:axPos val="b"/>
        <c:numFmt formatCode="General" sourceLinked="1"/>
        <c:majorTickMark val="none"/>
        <c:minorTickMark val="none"/>
        <c:tickLblPos val="nextTo"/>
        <c:crossAx val="5933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Regions_Insight!$B$3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4F-4971-8957-610F6782FA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4F-4971-8957-610F6782FA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4F-4971-8957-610F6782FA98}"/>
              </c:ext>
            </c:extLst>
          </c:dPt>
          <c:dLbls>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Regions_Insight!$A$4:$A$7</c:f>
              <c:strCache>
                <c:ptCount val="3"/>
                <c:pt idx="0">
                  <c:v>Central</c:v>
                </c:pt>
                <c:pt idx="1">
                  <c:v>East</c:v>
                </c:pt>
                <c:pt idx="2">
                  <c:v>West</c:v>
                </c:pt>
              </c:strCache>
            </c:strRef>
          </c:cat>
          <c:val>
            <c:numRef>
              <c:f>Regions_Insight!$B$4:$B$7</c:f>
              <c:numCache>
                <c:formatCode>_("$"* #,##0.00_);_("$"* \(#,##0.00\);_("$"* "-"??_);_(@_)</c:formatCode>
                <c:ptCount val="3"/>
                <c:pt idx="0">
                  <c:v>11139.069999999998</c:v>
                </c:pt>
                <c:pt idx="1">
                  <c:v>6002.09</c:v>
                </c:pt>
                <c:pt idx="2">
                  <c:v>2486.7200000000003</c:v>
                </c:pt>
              </c:numCache>
            </c:numRef>
          </c:val>
          <c:extLst>
            <c:ext xmlns:c16="http://schemas.microsoft.com/office/drawing/2014/chart" uri="{C3380CC4-5D6E-409C-BE32-E72D297353CC}">
              <c16:uniqueId val="{00000000-B03C-4BCC-967D-CE4D7E3218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Regions_Insight!$E$3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95-4B8A-B54E-3ED03DF1C8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95-4B8A-B54E-3ED03DF1C8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95-4B8A-B54E-3ED03DF1C8DC}"/>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Regions_Insight!$D$4:$D$7</c:f>
              <c:strCache>
                <c:ptCount val="3"/>
                <c:pt idx="0">
                  <c:v>Central</c:v>
                </c:pt>
                <c:pt idx="1">
                  <c:v>East</c:v>
                </c:pt>
                <c:pt idx="2">
                  <c:v>West</c:v>
                </c:pt>
              </c:strCache>
            </c:strRef>
          </c:cat>
          <c:val>
            <c:numRef>
              <c:f>Regions_Insight!$E$4:$E$7</c:f>
              <c:numCache>
                <c:formatCode>General</c:formatCode>
                <c:ptCount val="3"/>
                <c:pt idx="0">
                  <c:v>1199</c:v>
                </c:pt>
                <c:pt idx="1">
                  <c:v>691</c:v>
                </c:pt>
                <c:pt idx="2">
                  <c:v>231</c:v>
                </c:pt>
              </c:numCache>
            </c:numRef>
          </c:val>
          <c:extLst>
            <c:ext xmlns:c16="http://schemas.microsoft.com/office/drawing/2014/chart" uri="{C3380CC4-5D6E-409C-BE32-E72D297353CC}">
              <c16:uniqueId val="{00000000-F25E-4028-BC77-497603CFFD2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Regions_Insight!$H$3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3-4434-BA60-0E5B0A123B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43-4434-BA60-0E5B0A123B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43-4434-BA60-0E5B0A123BB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Regions_Insight!$G$4:$G$7</c:f>
              <c:strCache>
                <c:ptCount val="3"/>
                <c:pt idx="0">
                  <c:v>Central</c:v>
                </c:pt>
                <c:pt idx="1">
                  <c:v>East</c:v>
                </c:pt>
                <c:pt idx="2">
                  <c:v>West</c:v>
                </c:pt>
              </c:strCache>
            </c:strRef>
          </c:cat>
          <c:val>
            <c:numRef>
              <c:f>Regions_Insight!$H$4:$H$7</c:f>
              <c:numCache>
                <c:formatCode>General</c:formatCode>
                <c:ptCount val="3"/>
                <c:pt idx="0">
                  <c:v>24</c:v>
                </c:pt>
                <c:pt idx="1">
                  <c:v>13</c:v>
                </c:pt>
                <c:pt idx="2">
                  <c:v>6</c:v>
                </c:pt>
              </c:numCache>
            </c:numRef>
          </c:val>
          <c:extLst>
            <c:ext xmlns:c16="http://schemas.microsoft.com/office/drawing/2014/chart" uri="{C3380CC4-5D6E-409C-BE32-E72D297353CC}">
              <c16:uniqueId val="{00000000-41A5-470E-8CE1-DA1B657886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Items_Insights!$A$4:$A$9</c:f>
              <c:strCache>
                <c:ptCount val="5"/>
                <c:pt idx="0">
                  <c:v>Binder</c:v>
                </c:pt>
                <c:pt idx="1">
                  <c:v>Pen Set</c:v>
                </c:pt>
                <c:pt idx="2">
                  <c:v>Pencil</c:v>
                </c:pt>
                <c:pt idx="3">
                  <c:v>Pen</c:v>
                </c:pt>
                <c:pt idx="4">
                  <c:v>Desk</c:v>
                </c:pt>
              </c:strCache>
            </c:strRef>
          </c:cat>
          <c:val>
            <c:numRef>
              <c:f>Items_Insights!$B$4:$B$9</c:f>
              <c:numCache>
                <c:formatCode>_("$"* #,##0.00_);_("$"* \(#,##0.00\);_("$"* "-"??_);_(@_)</c:formatCode>
                <c:ptCount val="5"/>
                <c:pt idx="0">
                  <c:v>9577.65</c:v>
                </c:pt>
                <c:pt idx="1">
                  <c:v>4169.87</c:v>
                </c:pt>
                <c:pt idx="2">
                  <c:v>2135.1400000000003</c:v>
                </c:pt>
                <c:pt idx="3">
                  <c:v>2045.22</c:v>
                </c:pt>
                <c:pt idx="4">
                  <c:v>1700</c:v>
                </c:pt>
              </c:numCache>
            </c:numRef>
          </c:val>
          <c:extLst>
            <c:ext xmlns:c16="http://schemas.microsoft.com/office/drawing/2014/chart" uri="{C3380CC4-5D6E-409C-BE32-E72D297353CC}">
              <c16:uniqueId val="{00000000-709D-4705-83EA-7FEFD864832F}"/>
            </c:ext>
          </c:extLst>
        </c:ser>
        <c:dLbls>
          <c:dLblPos val="outEnd"/>
          <c:showLegendKey val="0"/>
          <c:showVal val="1"/>
          <c:showCatName val="0"/>
          <c:showSerName val="0"/>
          <c:showPercent val="0"/>
          <c:showBubbleSize val="0"/>
        </c:dLbls>
        <c:gapWidth val="219"/>
        <c:overlap val="-27"/>
        <c:axId val="1812321344"/>
        <c:axId val="1812321824"/>
      </c:barChart>
      <c:catAx>
        <c:axId val="18123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21824"/>
        <c:crosses val="autoZero"/>
        <c:auto val="1"/>
        <c:lblAlgn val="ctr"/>
        <c:lblOffset val="100"/>
        <c:noMultiLvlLbl val="0"/>
      </c:catAx>
      <c:valAx>
        <c:axId val="1812321824"/>
        <c:scaling>
          <c:orientation val="minMax"/>
        </c:scaling>
        <c:delete val="1"/>
        <c:axPos val="l"/>
        <c:numFmt formatCode="_(&quot;$&quot;* #,##0.00_);_(&quot;$&quot;* \(#,##0.00\);_(&quot;$&quot;* &quot;-&quot;??_);_(@_)" sourceLinked="1"/>
        <c:majorTickMark val="none"/>
        <c:minorTickMark val="none"/>
        <c:tickLblPos val="nextTo"/>
        <c:crossAx val="18123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Items_Insights!$D$4:$D$9</c:f>
              <c:strCache>
                <c:ptCount val="5"/>
                <c:pt idx="0">
                  <c:v>Binder</c:v>
                </c:pt>
                <c:pt idx="1">
                  <c:v>Pencil</c:v>
                </c:pt>
                <c:pt idx="2">
                  <c:v>Pen Set</c:v>
                </c:pt>
                <c:pt idx="3">
                  <c:v>Pen</c:v>
                </c:pt>
                <c:pt idx="4">
                  <c:v>Desk</c:v>
                </c:pt>
              </c:strCache>
            </c:strRef>
          </c:cat>
          <c:val>
            <c:numRef>
              <c:f>Items_Insights!$E$4:$E$9</c:f>
              <c:numCache>
                <c:formatCode>_("$"* #,##0.00_);_("$"* \(#,##0.00\);_("$"* "-"??_);_(@_)</c:formatCode>
                <c:ptCount val="5"/>
                <c:pt idx="0">
                  <c:v>722</c:v>
                </c:pt>
                <c:pt idx="1">
                  <c:v>716</c:v>
                </c:pt>
                <c:pt idx="2">
                  <c:v>395</c:v>
                </c:pt>
                <c:pt idx="3">
                  <c:v>278</c:v>
                </c:pt>
                <c:pt idx="4">
                  <c:v>10</c:v>
                </c:pt>
              </c:numCache>
            </c:numRef>
          </c:val>
          <c:extLst>
            <c:ext xmlns:c16="http://schemas.microsoft.com/office/drawing/2014/chart" uri="{C3380CC4-5D6E-409C-BE32-E72D297353CC}">
              <c16:uniqueId val="{00000000-F02E-43B6-A0E2-0B11B2D42918}"/>
            </c:ext>
          </c:extLst>
        </c:ser>
        <c:dLbls>
          <c:dLblPos val="outEnd"/>
          <c:showLegendKey val="0"/>
          <c:showVal val="1"/>
          <c:showCatName val="0"/>
          <c:showSerName val="0"/>
          <c:showPercent val="0"/>
          <c:showBubbleSize val="0"/>
        </c:dLbls>
        <c:gapWidth val="219"/>
        <c:overlap val="-27"/>
        <c:axId val="1812351584"/>
        <c:axId val="1812352544"/>
      </c:barChart>
      <c:catAx>
        <c:axId val="181235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52544"/>
        <c:crosses val="autoZero"/>
        <c:auto val="1"/>
        <c:lblAlgn val="ctr"/>
        <c:lblOffset val="100"/>
        <c:noMultiLvlLbl val="0"/>
      </c:catAx>
      <c:valAx>
        <c:axId val="1812352544"/>
        <c:scaling>
          <c:orientation val="minMax"/>
        </c:scaling>
        <c:delete val="1"/>
        <c:axPos val="l"/>
        <c:numFmt formatCode="_(&quot;$&quot;* #,##0.00_);_(&quot;$&quot;* \(#,##0.00\);_(&quot;$&quot;* &quot;-&quot;??_);_(@_)" sourceLinked="1"/>
        <c:majorTickMark val="none"/>
        <c:minorTickMark val="none"/>
        <c:tickLblPos val="nextTo"/>
        <c:crossAx val="18123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Items_Insights!$G$4:$G$9</c:f>
              <c:strCache>
                <c:ptCount val="5"/>
                <c:pt idx="0">
                  <c:v>Binder</c:v>
                </c:pt>
                <c:pt idx="1">
                  <c:v>Pencil</c:v>
                </c:pt>
                <c:pt idx="2">
                  <c:v>Pen Set</c:v>
                </c:pt>
                <c:pt idx="3">
                  <c:v>Pen</c:v>
                </c:pt>
                <c:pt idx="4">
                  <c:v>Desk</c:v>
                </c:pt>
              </c:strCache>
            </c:strRef>
          </c:cat>
          <c:val>
            <c:numRef>
              <c:f>Items_Insights!$H$4:$H$9</c:f>
              <c:numCache>
                <c:formatCode>_("$"* #,##0.00_);_("$"* \(#,##0.00\);_("$"* "-"??_);_(@_)</c:formatCode>
                <c:ptCount val="5"/>
                <c:pt idx="0">
                  <c:v>15</c:v>
                </c:pt>
                <c:pt idx="1">
                  <c:v>13</c:v>
                </c:pt>
                <c:pt idx="2">
                  <c:v>7</c:v>
                </c:pt>
                <c:pt idx="3">
                  <c:v>5</c:v>
                </c:pt>
                <c:pt idx="4">
                  <c:v>3</c:v>
                </c:pt>
              </c:numCache>
            </c:numRef>
          </c:val>
          <c:extLst>
            <c:ext xmlns:c16="http://schemas.microsoft.com/office/drawing/2014/chart" uri="{C3380CC4-5D6E-409C-BE32-E72D297353CC}">
              <c16:uniqueId val="{00000000-C634-4F94-97F3-26DEF4C2F77F}"/>
            </c:ext>
          </c:extLst>
        </c:ser>
        <c:dLbls>
          <c:dLblPos val="outEnd"/>
          <c:showLegendKey val="0"/>
          <c:showVal val="1"/>
          <c:showCatName val="0"/>
          <c:showSerName val="0"/>
          <c:showPercent val="0"/>
          <c:showBubbleSize val="0"/>
        </c:dLbls>
        <c:gapWidth val="219"/>
        <c:overlap val="-27"/>
        <c:axId val="1812290624"/>
        <c:axId val="1812314144"/>
      </c:barChart>
      <c:catAx>
        <c:axId val="18122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14144"/>
        <c:crosses val="autoZero"/>
        <c:auto val="1"/>
        <c:lblAlgn val="ctr"/>
        <c:lblOffset val="100"/>
        <c:noMultiLvlLbl val="0"/>
      </c:catAx>
      <c:valAx>
        <c:axId val="1812314144"/>
        <c:scaling>
          <c:orientation val="minMax"/>
        </c:scaling>
        <c:delete val="1"/>
        <c:axPos val="l"/>
        <c:numFmt formatCode="_(&quot;$&quot;* #,##0.00_);_(&quot;$&quot;* \(#,##0.00\);_(&quot;$&quot;* &quot;-&quot;??_);_(@_)" sourceLinked="1"/>
        <c:majorTickMark val="none"/>
        <c:minorTickMark val="none"/>
        <c:tickLblPos val="nextTo"/>
        <c:crossAx val="18122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 Overtime'!$B$3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Overtime'!$A$4:$A$14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Overtime'!$B$4:$B$14</c:f>
              <c:numCache>
                <c:formatCode>_("$"* #,##0.00_);_("$"* \(#,##0.00\);_("$"* "-"??_);_(@_)</c:formatCode>
                <c:ptCount val="8"/>
                <c:pt idx="0">
                  <c:v>2075.36</c:v>
                </c:pt>
                <c:pt idx="1">
                  <c:v>1949.9299999999998</c:v>
                </c:pt>
                <c:pt idx="2">
                  <c:v>2357.3900000000003</c:v>
                </c:pt>
                <c:pt idx="3">
                  <c:v>2875.66</c:v>
                </c:pt>
                <c:pt idx="4">
                  <c:v>2127.9300000000003</c:v>
                </c:pt>
                <c:pt idx="5">
                  <c:v>3902.01</c:v>
                </c:pt>
                <c:pt idx="6">
                  <c:v>2987.5</c:v>
                </c:pt>
                <c:pt idx="7">
                  <c:v>1352.1000000000001</c:v>
                </c:pt>
              </c:numCache>
            </c:numRef>
          </c:val>
          <c:smooth val="0"/>
          <c:extLst>
            <c:ext xmlns:c16="http://schemas.microsoft.com/office/drawing/2014/chart" uri="{C3380CC4-5D6E-409C-BE32-E72D297353CC}">
              <c16:uniqueId val="{00000000-B589-4D46-860F-FD57924FA9AB}"/>
            </c:ext>
          </c:extLst>
        </c:ser>
        <c:dLbls>
          <c:dLblPos val="t"/>
          <c:showLegendKey val="0"/>
          <c:showVal val="1"/>
          <c:showCatName val="0"/>
          <c:showSerName val="0"/>
          <c:showPercent val="0"/>
          <c:showBubbleSize val="0"/>
        </c:dLbls>
        <c:smooth val="0"/>
        <c:axId val="1812312704"/>
        <c:axId val="1812289184"/>
      </c:lineChart>
      <c:catAx>
        <c:axId val="18123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89184"/>
        <c:crosses val="autoZero"/>
        <c:auto val="1"/>
        <c:lblAlgn val="ctr"/>
        <c:lblOffset val="100"/>
        <c:noMultiLvlLbl val="0"/>
      </c:catAx>
      <c:valAx>
        <c:axId val="1812289184"/>
        <c:scaling>
          <c:orientation val="minMax"/>
        </c:scaling>
        <c:delete val="1"/>
        <c:axPos val="l"/>
        <c:numFmt formatCode="_(&quot;$&quot;* #,##0.00_);_(&quot;$&quot;* \(#,##0.00\);_(&quot;$&quot;* &quot;-&quot;??_);_(@_)" sourceLinked="1"/>
        <c:majorTickMark val="none"/>
        <c:minorTickMark val="none"/>
        <c:tickLblPos val="nextTo"/>
        <c:crossAx val="18123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Units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'Perf. Overtime'!$E$3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Overtime'!$D$4:$D$14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Overtime'!$E$4:$E$14</c:f>
              <c:numCache>
                <c:formatCode>General</c:formatCode>
                <c:ptCount val="8"/>
                <c:pt idx="0">
                  <c:v>264</c:v>
                </c:pt>
                <c:pt idx="1">
                  <c:v>407</c:v>
                </c:pt>
                <c:pt idx="2">
                  <c:v>163</c:v>
                </c:pt>
                <c:pt idx="3">
                  <c:v>344</c:v>
                </c:pt>
                <c:pt idx="4">
                  <c:v>194</c:v>
                </c:pt>
                <c:pt idx="5">
                  <c:v>394</c:v>
                </c:pt>
                <c:pt idx="6">
                  <c:v>245</c:v>
                </c:pt>
                <c:pt idx="7">
                  <c:v>110</c:v>
                </c:pt>
              </c:numCache>
            </c:numRef>
          </c:val>
          <c:smooth val="0"/>
          <c:extLst>
            <c:ext xmlns:c16="http://schemas.microsoft.com/office/drawing/2014/chart" uri="{C3380CC4-5D6E-409C-BE32-E72D297353CC}">
              <c16:uniqueId val="{00000000-5B8B-48BC-B6CE-AB67BDC78A1B}"/>
            </c:ext>
          </c:extLst>
        </c:ser>
        <c:dLbls>
          <c:dLblPos val="t"/>
          <c:showLegendKey val="0"/>
          <c:showVal val="1"/>
          <c:showCatName val="0"/>
          <c:showSerName val="0"/>
          <c:showPercent val="0"/>
          <c:showBubbleSize val="0"/>
        </c:dLbls>
        <c:marker val="1"/>
        <c:smooth val="0"/>
        <c:axId val="1812300224"/>
        <c:axId val="1812297344"/>
      </c:lineChart>
      <c:catAx>
        <c:axId val="18123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97344"/>
        <c:crosses val="autoZero"/>
        <c:auto val="1"/>
        <c:lblAlgn val="ctr"/>
        <c:lblOffset val="100"/>
        <c:noMultiLvlLbl val="0"/>
      </c:catAx>
      <c:valAx>
        <c:axId val="1812297344"/>
        <c:scaling>
          <c:orientation val="minMax"/>
        </c:scaling>
        <c:delete val="1"/>
        <c:axPos val="l"/>
        <c:numFmt formatCode="General" sourceLinked="1"/>
        <c:majorTickMark val="none"/>
        <c:minorTickMark val="none"/>
        <c:tickLblPos val="nextTo"/>
        <c:crossAx val="18123002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Orders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Orders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'Perf. Overtime'!$H$3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Overtime'!$G$4:$G$14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Overtime'!$H$4:$H$14</c:f>
              <c:numCache>
                <c:formatCode>General</c:formatCode>
                <c:ptCount val="8"/>
                <c:pt idx="0">
                  <c:v>5</c:v>
                </c:pt>
                <c:pt idx="1">
                  <c:v>6</c:v>
                </c:pt>
                <c:pt idx="2">
                  <c:v>5</c:v>
                </c:pt>
                <c:pt idx="3">
                  <c:v>6</c:v>
                </c:pt>
                <c:pt idx="4">
                  <c:v>5</c:v>
                </c:pt>
                <c:pt idx="5">
                  <c:v>6</c:v>
                </c:pt>
                <c:pt idx="6">
                  <c:v>6</c:v>
                </c:pt>
                <c:pt idx="7">
                  <c:v>4</c:v>
                </c:pt>
              </c:numCache>
            </c:numRef>
          </c:val>
          <c:smooth val="0"/>
          <c:extLst>
            <c:ext xmlns:c16="http://schemas.microsoft.com/office/drawing/2014/chart" uri="{C3380CC4-5D6E-409C-BE32-E72D297353CC}">
              <c16:uniqueId val="{00000001-124A-437E-AD63-C80A9B51E445}"/>
            </c:ext>
          </c:extLst>
        </c:ser>
        <c:dLbls>
          <c:dLblPos val="t"/>
          <c:showLegendKey val="0"/>
          <c:showVal val="1"/>
          <c:showCatName val="0"/>
          <c:showSerName val="0"/>
          <c:showPercent val="0"/>
          <c:showBubbleSize val="0"/>
        </c:dLbls>
        <c:marker val="1"/>
        <c:smooth val="0"/>
        <c:axId val="1812300224"/>
        <c:axId val="1812297344"/>
      </c:lineChart>
      <c:catAx>
        <c:axId val="18123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97344"/>
        <c:crosses val="autoZero"/>
        <c:auto val="1"/>
        <c:lblAlgn val="ctr"/>
        <c:lblOffset val="100"/>
        <c:noMultiLvlLbl val="0"/>
      </c:catAx>
      <c:valAx>
        <c:axId val="1812297344"/>
        <c:scaling>
          <c:orientation val="minMax"/>
        </c:scaling>
        <c:delete val="1"/>
        <c:axPos val="l"/>
        <c:numFmt formatCode="General" sourceLinked="1"/>
        <c:majorTickMark val="none"/>
        <c:minorTickMark val="none"/>
        <c:tickLblPos val="nextTo"/>
        <c:crossAx val="1812300224"/>
        <c:crosses val="autoZero"/>
        <c:crossBetween val="between"/>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SalesRep_Insights!$A$4:$A$15</c:f>
              <c:strCache>
                <c:ptCount val="11"/>
                <c:pt idx="0">
                  <c:v>Kivell</c:v>
                </c:pt>
                <c:pt idx="1">
                  <c:v>Parent</c:v>
                </c:pt>
                <c:pt idx="2">
                  <c:v>Jardine</c:v>
                </c:pt>
                <c:pt idx="3">
                  <c:v>Jones</c:v>
                </c:pt>
                <c:pt idx="4">
                  <c:v>Gill</c:v>
                </c:pt>
                <c:pt idx="5">
                  <c:v>Smith</c:v>
                </c:pt>
                <c:pt idx="6">
                  <c:v>Morgan</c:v>
                </c:pt>
                <c:pt idx="7">
                  <c:v>Sorvino</c:v>
                </c:pt>
                <c:pt idx="8">
                  <c:v>Thompson</c:v>
                </c:pt>
                <c:pt idx="9">
                  <c:v>Howard</c:v>
                </c:pt>
                <c:pt idx="10">
                  <c:v>Andrews</c:v>
                </c:pt>
              </c:strCache>
            </c:strRef>
          </c:cat>
          <c:val>
            <c:numRef>
              <c:f>SalesRep_Insights!$B$4:$B$15</c:f>
              <c:numCache>
                <c:formatCode>_("$"* #,##0.00_);_("$"* \(#,##0.00\);_("$"* "-"??_);_(@_)</c:formatCode>
                <c:ptCount val="11"/>
                <c:pt idx="0">
                  <c:v>3109.44</c:v>
                </c:pt>
                <c:pt idx="1">
                  <c:v>3102.3</c:v>
                </c:pt>
                <c:pt idx="2">
                  <c:v>2812.19</c:v>
                </c:pt>
                <c:pt idx="3">
                  <c:v>2363.04</c:v>
                </c:pt>
                <c:pt idx="4">
                  <c:v>1749.8700000000001</c:v>
                </c:pt>
                <c:pt idx="5">
                  <c:v>1641.43</c:v>
                </c:pt>
                <c:pt idx="6">
                  <c:v>1387.77</c:v>
                </c:pt>
                <c:pt idx="7">
                  <c:v>1283.6099999999999</c:v>
                </c:pt>
                <c:pt idx="8">
                  <c:v>1203.1100000000001</c:v>
                </c:pt>
                <c:pt idx="9">
                  <c:v>536.75</c:v>
                </c:pt>
                <c:pt idx="10">
                  <c:v>438.37</c:v>
                </c:pt>
              </c:numCache>
            </c:numRef>
          </c:val>
          <c:extLst>
            <c:ext xmlns:c16="http://schemas.microsoft.com/office/drawing/2014/chart" uri="{C3380CC4-5D6E-409C-BE32-E72D297353CC}">
              <c16:uniqueId val="{00000000-FFC1-4CFD-9923-7E77E228F765}"/>
            </c:ext>
          </c:extLst>
        </c:ser>
        <c:dLbls>
          <c:dLblPos val="outEnd"/>
          <c:showLegendKey val="0"/>
          <c:showVal val="1"/>
          <c:showCatName val="0"/>
          <c:showSerName val="0"/>
          <c:showPercent val="0"/>
          <c:showBubbleSize val="0"/>
        </c:dLbls>
        <c:gapWidth val="182"/>
        <c:axId val="593409520"/>
        <c:axId val="593408560"/>
      </c:barChart>
      <c:catAx>
        <c:axId val="59340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408560"/>
        <c:crosses val="autoZero"/>
        <c:auto val="1"/>
        <c:lblAlgn val="ctr"/>
        <c:lblOffset val="100"/>
        <c:noMultiLvlLbl val="0"/>
      </c:catAx>
      <c:valAx>
        <c:axId val="593408560"/>
        <c:scaling>
          <c:orientation val="minMax"/>
        </c:scaling>
        <c:delete val="1"/>
        <c:axPos val="b"/>
        <c:numFmt formatCode="_(&quot;$&quot;* #,##0.00_);_(&quot;$&quot;* \(#,##0.00\);_(&quot;$&quot;* &quot;-&quot;??_);_(@_)" sourceLinked="1"/>
        <c:majorTickMark val="none"/>
        <c:minorTickMark val="none"/>
        <c:tickLblPos val="nextTo"/>
        <c:crossAx val="59340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Units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a:t>
            </a:r>
            <a:r>
              <a:rPr lang="en-US" baseline="0"/>
              <a:t> By Total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SalesRep_Insights!$E$3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SalesRep_Insights!$D$4:$D$15</c:f>
              <c:strCache>
                <c:ptCount val="11"/>
                <c:pt idx="0">
                  <c:v>Jones</c:v>
                </c:pt>
                <c:pt idx="1">
                  <c:v>Jardine</c:v>
                </c:pt>
                <c:pt idx="2">
                  <c:v>Gill</c:v>
                </c:pt>
                <c:pt idx="3">
                  <c:v>Kivell</c:v>
                </c:pt>
                <c:pt idx="4">
                  <c:v>Andrews</c:v>
                </c:pt>
                <c:pt idx="5">
                  <c:v>Morgan</c:v>
                </c:pt>
                <c:pt idx="6">
                  <c:v>Parent</c:v>
                </c:pt>
                <c:pt idx="7">
                  <c:v>Smith</c:v>
                </c:pt>
                <c:pt idx="8">
                  <c:v>Sorvino</c:v>
                </c:pt>
                <c:pt idx="9">
                  <c:v>Howard</c:v>
                </c:pt>
                <c:pt idx="10">
                  <c:v>Thompson</c:v>
                </c:pt>
              </c:strCache>
            </c:strRef>
          </c:cat>
          <c:val>
            <c:numRef>
              <c:f>SalesRep_Insights!$E$4:$E$15</c:f>
              <c:numCache>
                <c:formatCode>General</c:formatCode>
                <c:ptCount val="11"/>
                <c:pt idx="0">
                  <c:v>396</c:v>
                </c:pt>
                <c:pt idx="1">
                  <c:v>281</c:v>
                </c:pt>
                <c:pt idx="2">
                  <c:v>213</c:v>
                </c:pt>
                <c:pt idx="3">
                  <c:v>193</c:v>
                </c:pt>
                <c:pt idx="4">
                  <c:v>183</c:v>
                </c:pt>
                <c:pt idx="5">
                  <c:v>173</c:v>
                </c:pt>
                <c:pt idx="6">
                  <c:v>170</c:v>
                </c:pt>
                <c:pt idx="7">
                  <c:v>156</c:v>
                </c:pt>
                <c:pt idx="8">
                  <c:v>142</c:v>
                </c:pt>
                <c:pt idx="9">
                  <c:v>125</c:v>
                </c:pt>
                <c:pt idx="10">
                  <c:v>89</c:v>
                </c:pt>
              </c:numCache>
            </c:numRef>
          </c:val>
          <c:extLst>
            <c:ext xmlns:c16="http://schemas.microsoft.com/office/drawing/2014/chart" uri="{C3380CC4-5D6E-409C-BE32-E72D297353CC}">
              <c16:uniqueId val="{00000000-4527-4399-96DE-59B02095636B}"/>
            </c:ext>
          </c:extLst>
        </c:ser>
        <c:dLbls>
          <c:dLblPos val="outEnd"/>
          <c:showLegendKey val="0"/>
          <c:showVal val="1"/>
          <c:showCatName val="0"/>
          <c:showSerName val="0"/>
          <c:showPercent val="0"/>
          <c:showBubbleSize val="0"/>
        </c:dLbls>
        <c:gapWidth val="182"/>
        <c:axId val="593375440"/>
        <c:axId val="593345200"/>
      </c:barChart>
      <c:catAx>
        <c:axId val="59337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45200"/>
        <c:crosses val="autoZero"/>
        <c:auto val="1"/>
        <c:lblAlgn val="ctr"/>
        <c:lblOffset val="100"/>
        <c:noMultiLvlLbl val="0"/>
      </c:catAx>
      <c:valAx>
        <c:axId val="593345200"/>
        <c:scaling>
          <c:orientation val="minMax"/>
        </c:scaling>
        <c:delete val="1"/>
        <c:axPos val="b"/>
        <c:numFmt formatCode="General" sourceLinked="1"/>
        <c:majorTickMark val="none"/>
        <c:minorTickMark val="none"/>
        <c:tickLblPos val="nextTo"/>
        <c:crossAx val="5933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(2)........xlsx]SalesRep_Insights!Reps - PVT - Total Orders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SalesRep_Insights!$H$3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SalesRep_Insights!$G$4:$G$15</c:f>
              <c:strCache>
                <c:ptCount val="11"/>
                <c:pt idx="0">
                  <c:v>Jones</c:v>
                </c:pt>
                <c:pt idx="1">
                  <c:v>Gill</c:v>
                </c:pt>
                <c:pt idx="2">
                  <c:v>Jardine</c:v>
                </c:pt>
                <c:pt idx="3">
                  <c:v>Andrews</c:v>
                </c:pt>
                <c:pt idx="4">
                  <c:v>Sorvino</c:v>
                </c:pt>
                <c:pt idx="5">
                  <c:v>Kivell</c:v>
                </c:pt>
                <c:pt idx="6">
                  <c:v>Parent</c:v>
                </c:pt>
                <c:pt idx="7">
                  <c:v>Morgan</c:v>
                </c:pt>
                <c:pt idx="8">
                  <c:v>Smith</c:v>
                </c:pt>
                <c:pt idx="9">
                  <c:v>Thompson</c:v>
                </c:pt>
                <c:pt idx="10">
                  <c:v>Howard</c:v>
                </c:pt>
              </c:strCache>
            </c:strRef>
          </c:cat>
          <c:val>
            <c:numRef>
              <c:f>SalesRep_Insights!$H$4:$H$15</c:f>
              <c:numCache>
                <c:formatCode>General</c:formatCode>
                <c:ptCount val="11"/>
                <c:pt idx="0">
                  <c:v>8</c:v>
                </c:pt>
                <c:pt idx="1">
                  <c:v>5</c:v>
                </c:pt>
                <c:pt idx="2">
                  <c:v>5</c:v>
                </c:pt>
                <c:pt idx="3">
                  <c:v>4</c:v>
                </c:pt>
                <c:pt idx="4">
                  <c:v>4</c:v>
                </c:pt>
                <c:pt idx="5">
                  <c:v>4</c:v>
                </c:pt>
                <c:pt idx="6">
                  <c:v>3</c:v>
                </c:pt>
                <c:pt idx="7">
                  <c:v>3</c:v>
                </c:pt>
                <c:pt idx="8">
                  <c:v>3</c:v>
                </c:pt>
                <c:pt idx="9">
                  <c:v>2</c:v>
                </c:pt>
                <c:pt idx="10">
                  <c:v>2</c:v>
                </c:pt>
              </c:numCache>
            </c:numRef>
          </c:val>
          <c:extLst>
            <c:ext xmlns:c16="http://schemas.microsoft.com/office/drawing/2014/chart" uri="{C3380CC4-5D6E-409C-BE32-E72D297353CC}">
              <c16:uniqueId val="{00000000-0382-4353-BD00-CBF03C002FD2}"/>
            </c:ext>
          </c:extLst>
        </c:ser>
        <c:dLbls>
          <c:dLblPos val="outEnd"/>
          <c:showLegendKey val="0"/>
          <c:showVal val="1"/>
          <c:showCatName val="0"/>
          <c:showSerName val="0"/>
          <c:showPercent val="0"/>
          <c:showBubbleSize val="0"/>
        </c:dLbls>
        <c:gapWidth val="182"/>
        <c:axId val="593372560"/>
        <c:axId val="593371600"/>
      </c:barChart>
      <c:catAx>
        <c:axId val="593372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71600"/>
        <c:crosses val="autoZero"/>
        <c:auto val="1"/>
        <c:lblAlgn val="ctr"/>
        <c:lblOffset val="100"/>
        <c:noMultiLvlLbl val="0"/>
      </c:catAx>
      <c:valAx>
        <c:axId val="593371600"/>
        <c:scaling>
          <c:orientation val="minMax"/>
        </c:scaling>
        <c:delete val="1"/>
        <c:axPos val="b"/>
        <c:numFmt formatCode="General" sourceLinked="1"/>
        <c:majorTickMark val="none"/>
        <c:minorTickMark val="none"/>
        <c:tickLblPos val="nextTo"/>
        <c:crossAx val="5933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Items_Insights!$A$4:$A$9</c:f>
              <c:strCache>
                <c:ptCount val="5"/>
                <c:pt idx="0">
                  <c:v>Binder</c:v>
                </c:pt>
                <c:pt idx="1">
                  <c:v>Pen Set</c:v>
                </c:pt>
                <c:pt idx="2">
                  <c:v>Pencil</c:v>
                </c:pt>
                <c:pt idx="3">
                  <c:v>Pen</c:v>
                </c:pt>
                <c:pt idx="4">
                  <c:v>Desk</c:v>
                </c:pt>
              </c:strCache>
            </c:strRef>
          </c:cat>
          <c:val>
            <c:numRef>
              <c:f>Items_Insights!$B$4:$B$9</c:f>
              <c:numCache>
                <c:formatCode>_("$"* #,##0.00_);_("$"* \(#,##0.00\);_("$"* "-"??_);_(@_)</c:formatCode>
                <c:ptCount val="5"/>
                <c:pt idx="0">
                  <c:v>9577.65</c:v>
                </c:pt>
                <c:pt idx="1">
                  <c:v>4169.87</c:v>
                </c:pt>
                <c:pt idx="2">
                  <c:v>2135.1400000000003</c:v>
                </c:pt>
                <c:pt idx="3">
                  <c:v>2045.22</c:v>
                </c:pt>
                <c:pt idx="4">
                  <c:v>1700</c:v>
                </c:pt>
              </c:numCache>
            </c:numRef>
          </c:val>
          <c:extLst>
            <c:ext xmlns:c16="http://schemas.microsoft.com/office/drawing/2014/chart" uri="{C3380CC4-5D6E-409C-BE32-E72D297353CC}">
              <c16:uniqueId val="{00000000-F52C-4EE9-B293-217EBB01A2DD}"/>
            </c:ext>
          </c:extLst>
        </c:ser>
        <c:dLbls>
          <c:dLblPos val="outEnd"/>
          <c:showLegendKey val="0"/>
          <c:showVal val="1"/>
          <c:showCatName val="0"/>
          <c:showSerName val="0"/>
          <c:showPercent val="0"/>
          <c:showBubbleSize val="0"/>
        </c:dLbls>
        <c:gapWidth val="219"/>
        <c:overlap val="-27"/>
        <c:axId val="1812321344"/>
        <c:axId val="1812321824"/>
      </c:barChart>
      <c:catAx>
        <c:axId val="18123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21824"/>
        <c:crosses val="autoZero"/>
        <c:auto val="1"/>
        <c:lblAlgn val="ctr"/>
        <c:lblOffset val="100"/>
        <c:noMultiLvlLbl val="0"/>
      </c:catAx>
      <c:valAx>
        <c:axId val="1812321824"/>
        <c:scaling>
          <c:orientation val="minMax"/>
        </c:scaling>
        <c:delete val="1"/>
        <c:axPos val="l"/>
        <c:numFmt formatCode="_(&quot;$&quot;* #,##0.00_);_(&quot;$&quot;* \(#,##0.00\);_(&quot;$&quot;* &quot;-&quot;??_);_(@_)" sourceLinked="1"/>
        <c:majorTickMark val="none"/>
        <c:minorTickMark val="none"/>
        <c:tickLblPos val="nextTo"/>
        <c:crossAx val="18123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Units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Items_Insights!$D$4:$D$9</c:f>
              <c:strCache>
                <c:ptCount val="5"/>
                <c:pt idx="0">
                  <c:v>Binder</c:v>
                </c:pt>
                <c:pt idx="1">
                  <c:v>Pencil</c:v>
                </c:pt>
                <c:pt idx="2">
                  <c:v>Pen Set</c:v>
                </c:pt>
                <c:pt idx="3">
                  <c:v>Pen</c:v>
                </c:pt>
                <c:pt idx="4">
                  <c:v>Desk</c:v>
                </c:pt>
              </c:strCache>
            </c:strRef>
          </c:cat>
          <c:val>
            <c:numRef>
              <c:f>Items_Insights!$E$4:$E$9</c:f>
              <c:numCache>
                <c:formatCode>_("$"* #,##0.00_);_("$"* \(#,##0.00\);_("$"* "-"??_);_(@_)</c:formatCode>
                <c:ptCount val="5"/>
                <c:pt idx="0">
                  <c:v>722</c:v>
                </c:pt>
                <c:pt idx="1">
                  <c:v>716</c:v>
                </c:pt>
                <c:pt idx="2">
                  <c:v>395</c:v>
                </c:pt>
                <c:pt idx="3">
                  <c:v>278</c:v>
                </c:pt>
                <c:pt idx="4">
                  <c:v>10</c:v>
                </c:pt>
              </c:numCache>
            </c:numRef>
          </c:val>
          <c:extLst>
            <c:ext xmlns:c16="http://schemas.microsoft.com/office/drawing/2014/chart" uri="{C3380CC4-5D6E-409C-BE32-E72D297353CC}">
              <c16:uniqueId val="{00000000-CF46-4094-8C54-A6E4BF2AEF9A}"/>
            </c:ext>
          </c:extLst>
        </c:ser>
        <c:dLbls>
          <c:dLblPos val="outEnd"/>
          <c:showLegendKey val="0"/>
          <c:showVal val="1"/>
          <c:showCatName val="0"/>
          <c:showSerName val="0"/>
          <c:showPercent val="0"/>
          <c:showBubbleSize val="0"/>
        </c:dLbls>
        <c:gapWidth val="219"/>
        <c:overlap val="-27"/>
        <c:axId val="1812351584"/>
        <c:axId val="1812352544"/>
      </c:barChart>
      <c:catAx>
        <c:axId val="181235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52544"/>
        <c:crosses val="autoZero"/>
        <c:auto val="1"/>
        <c:lblAlgn val="ctr"/>
        <c:lblOffset val="100"/>
        <c:noMultiLvlLbl val="0"/>
      </c:catAx>
      <c:valAx>
        <c:axId val="1812352544"/>
        <c:scaling>
          <c:orientation val="minMax"/>
        </c:scaling>
        <c:delete val="1"/>
        <c:axPos val="l"/>
        <c:numFmt formatCode="_(&quot;$&quot;* #,##0.00_);_(&quot;$&quot;* \(#,##0.00\);_(&quot;$&quot;* &quot;-&quot;??_);_(@_)" sourceLinked="1"/>
        <c:majorTickMark val="none"/>
        <c:minorTickMark val="none"/>
        <c:tickLblPos val="nextTo"/>
        <c:crossAx val="18123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(2)........xlsx]Items_Insights!Items - PVT - Total Orders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Items_Insights!$H$3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Items_Insights!$G$4:$G$9</c:f>
              <c:strCache>
                <c:ptCount val="5"/>
                <c:pt idx="0">
                  <c:v>Binder</c:v>
                </c:pt>
                <c:pt idx="1">
                  <c:v>Pencil</c:v>
                </c:pt>
                <c:pt idx="2">
                  <c:v>Pen Set</c:v>
                </c:pt>
                <c:pt idx="3">
                  <c:v>Pen</c:v>
                </c:pt>
                <c:pt idx="4">
                  <c:v>Desk</c:v>
                </c:pt>
              </c:strCache>
            </c:strRef>
          </c:cat>
          <c:val>
            <c:numRef>
              <c:f>Items_Insights!$H$4:$H$9</c:f>
              <c:numCache>
                <c:formatCode>_("$"* #,##0.00_);_("$"* \(#,##0.00\);_("$"* "-"??_);_(@_)</c:formatCode>
                <c:ptCount val="5"/>
                <c:pt idx="0">
                  <c:v>15</c:v>
                </c:pt>
                <c:pt idx="1">
                  <c:v>13</c:v>
                </c:pt>
                <c:pt idx="2">
                  <c:v>7</c:v>
                </c:pt>
                <c:pt idx="3">
                  <c:v>5</c:v>
                </c:pt>
                <c:pt idx="4">
                  <c:v>3</c:v>
                </c:pt>
              </c:numCache>
            </c:numRef>
          </c:val>
          <c:extLst>
            <c:ext xmlns:c16="http://schemas.microsoft.com/office/drawing/2014/chart" uri="{C3380CC4-5D6E-409C-BE32-E72D297353CC}">
              <c16:uniqueId val="{00000000-3977-49EA-B7FF-2CD4D286077F}"/>
            </c:ext>
          </c:extLst>
        </c:ser>
        <c:dLbls>
          <c:dLblPos val="outEnd"/>
          <c:showLegendKey val="0"/>
          <c:showVal val="1"/>
          <c:showCatName val="0"/>
          <c:showSerName val="0"/>
          <c:showPercent val="0"/>
          <c:showBubbleSize val="0"/>
        </c:dLbls>
        <c:gapWidth val="219"/>
        <c:overlap val="-27"/>
        <c:axId val="1812290624"/>
        <c:axId val="1812314144"/>
      </c:barChart>
      <c:catAx>
        <c:axId val="18122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14144"/>
        <c:crosses val="autoZero"/>
        <c:auto val="1"/>
        <c:lblAlgn val="ctr"/>
        <c:lblOffset val="100"/>
        <c:noMultiLvlLbl val="0"/>
      </c:catAx>
      <c:valAx>
        <c:axId val="1812314144"/>
        <c:scaling>
          <c:orientation val="minMax"/>
        </c:scaling>
        <c:delete val="1"/>
        <c:axPos val="l"/>
        <c:numFmt formatCode="_(&quot;$&quot;* #,##0.00_);_(&quot;$&quot;* \(#,##0.00\);_(&quot;$&quot;* &quot;-&quot;??_);_(@_)" sourceLinked="1"/>
        <c:majorTickMark val="none"/>
        <c:minorTickMark val="none"/>
        <c:tickLblPos val="nextTo"/>
        <c:crossAx val="18122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Regions_Insight!$B$3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54-4F93-BA93-77F06434F9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54-4F93-BA93-77F06434F9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54-4F93-BA93-77F06434F995}"/>
              </c:ext>
            </c:extLst>
          </c:dPt>
          <c:dLbls>
            <c:spPr>
              <a:solidFill>
                <a:schemeClr val="tx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Regions_Insight!$A$4:$A$7</c:f>
              <c:strCache>
                <c:ptCount val="3"/>
                <c:pt idx="0">
                  <c:v>Central</c:v>
                </c:pt>
                <c:pt idx="1">
                  <c:v>East</c:v>
                </c:pt>
                <c:pt idx="2">
                  <c:v>West</c:v>
                </c:pt>
              </c:strCache>
            </c:strRef>
          </c:cat>
          <c:val>
            <c:numRef>
              <c:f>Regions_Insight!$B$4:$B$7</c:f>
              <c:numCache>
                <c:formatCode>_("$"* #,##0.00_);_("$"* \(#,##0.00\);_("$"* "-"??_);_(@_)</c:formatCode>
                <c:ptCount val="3"/>
                <c:pt idx="0">
                  <c:v>11139.069999999998</c:v>
                </c:pt>
                <c:pt idx="1">
                  <c:v>6002.09</c:v>
                </c:pt>
                <c:pt idx="2">
                  <c:v>2486.7200000000003</c:v>
                </c:pt>
              </c:numCache>
            </c:numRef>
          </c:val>
          <c:extLst>
            <c:ext xmlns:c16="http://schemas.microsoft.com/office/drawing/2014/chart" uri="{C3380CC4-5D6E-409C-BE32-E72D297353CC}">
              <c16:uniqueId val="{00000006-FA54-4F93-BA93-77F06434F9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UNits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Regions_Insight!$E$3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2E-4FC5-AA8D-DD4091486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2E-4FC5-AA8D-DD40914869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2E-4FC5-AA8D-DD40914869D1}"/>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Regions_Insight!$D$4:$D$7</c:f>
              <c:strCache>
                <c:ptCount val="3"/>
                <c:pt idx="0">
                  <c:v>Central</c:v>
                </c:pt>
                <c:pt idx="1">
                  <c:v>East</c:v>
                </c:pt>
                <c:pt idx="2">
                  <c:v>West</c:v>
                </c:pt>
              </c:strCache>
            </c:strRef>
          </c:cat>
          <c:val>
            <c:numRef>
              <c:f>Regions_Insight!$E$4:$E$7</c:f>
              <c:numCache>
                <c:formatCode>General</c:formatCode>
                <c:ptCount val="3"/>
                <c:pt idx="0">
                  <c:v>1199</c:v>
                </c:pt>
                <c:pt idx="1">
                  <c:v>691</c:v>
                </c:pt>
                <c:pt idx="2">
                  <c:v>231</c:v>
                </c:pt>
              </c:numCache>
            </c:numRef>
          </c:val>
          <c:extLst>
            <c:ext xmlns:c16="http://schemas.microsoft.com/office/drawing/2014/chart" uri="{C3380CC4-5D6E-409C-BE32-E72D297353CC}">
              <c16:uniqueId val="{00000006-282E-4FC5-AA8D-DD40914869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(2)........xlsx]Regions_Insight!Regions - PVT - Total Orders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Regions By Total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Regions_Insight!$H$3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5E-48CA-8BC9-F64A842CCC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5E-48CA-8BC9-F64A842CCC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5E-48CA-8BC9-F64A842CCCFF}"/>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Regions_Insight!$G$4:$G$7</c:f>
              <c:strCache>
                <c:ptCount val="3"/>
                <c:pt idx="0">
                  <c:v>Central</c:v>
                </c:pt>
                <c:pt idx="1">
                  <c:v>East</c:v>
                </c:pt>
                <c:pt idx="2">
                  <c:v>West</c:v>
                </c:pt>
              </c:strCache>
            </c:strRef>
          </c:cat>
          <c:val>
            <c:numRef>
              <c:f>Regions_Insight!$H$4:$H$7</c:f>
              <c:numCache>
                <c:formatCode>General</c:formatCode>
                <c:ptCount val="3"/>
                <c:pt idx="0">
                  <c:v>24</c:v>
                </c:pt>
                <c:pt idx="1">
                  <c:v>13</c:v>
                </c:pt>
                <c:pt idx="2">
                  <c:v>6</c:v>
                </c:pt>
              </c:numCache>
            </c:numRef>
          </c:val>
          <c:extLst>
            <c:ext xmlns:c16="http://schemas.microsoft.com/office/drawing/2014/chart" uri="{C3380CC4-5D6E-409C-BE32-E72D297353CC}">
              <c16:uniqueId val="{00000006-745E-48CA-8BC9-F64A842CCC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 Overtime'!$B$3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Overtime'!$A$4:$A$14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Overtime'!$B$4:$B$14</c:f>
              <c:numCache>
                <c:formatCode>_("$"* #,##0.00_);_("$"* \(#,##0.00\);_("$"* "-"??_);_(@_)</c:formatCode>
                <c:ptCount val="8"/>
                <c:pt idx="0">
                  <c:v>2075.36</c:v>
                </c:pt>
                <c:pt idx="1">
                  <c:v>1949.9299999999998</c:v>
                </c:pt>
                <c:pt idx="2">
                  <c:v>2357.3900000000003</c:v>
                </c:pt>
                <c:pt idx="3">
                  <c:v>2875.66</c:v>
                </c:pt>
                <c:pt idx="4">
                  <c:v>2127.9300000000003</c:v>
                </c:pt>
                <c:pt idx="5">
                  <c:v>3902.01</c:v>
                </c:pt>
                <c:pt idx="6">
                  <c:v>2987.5</c:v>
                </c:pt>
                <c:pt idx="7">
                  <c:v>1352.1000000000001</c:v>
                </c:pt>
              </c:numCache>
            </c:numRef>
          </c:val>
          <c:smooth val="0"/>
          <c:extLst>
            <c:ext xmlns:c16="http://schemas.microsoft.com/office/drawing/2014/chart" uri="{C3380CC4-5D6E-409C-BE32-E72D297353CC}">
              <c16:uniqueId val="{00000000-BDE1-437E-B9BE-4113520B363C}"/>
            </c:ext>
          </c:extLst>
        </c:ser>
        <c:dLbls>
          <c:dLblPos val="t"/>
          <c:showLegendKey val="0"/>
          <c:showVal val="1"/>
          <c:showCatName val="0"/>
          <c:showSerName val="0"/>
          <c:showPercent val="0"/>
          <c:showBubbleSize val="0"/>
        </c:dLbls>
        <c:smooth val="0"/>
        <c:axId val="1812312704"/>
        <c:axId val="1812289184"/>
      </c:lineChart>
      <c:catAx>
        <c:axId val="18123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89184"/>
        <c:crosses val="autoZero"/>
        <c:auto val="1"/>
        <c:lblAlgn val="ctr"/>
        <c:lblOffset val="100"/>
        <c:noMultiLvlLbl val="0"/>
      </c:catAx>
      <c:valAx>
        <c:axId val="1812289184"/>
        <c:scaling>
          <c:orientation val="minMax"/>
        </c:scaling>
        <c:delete val="1"/>
        <c:axPos val="l"/>
        <c:numFmt formatCode="_(&quot;$&quot;* #,##0.00_);_(&quot;$&quot;* \(#,##0.00\);_(&quot;$&quot;* &quot;-&quot;??_);_(@_)" sourceLinked="1"/>
        <c:majorTickMark val="none"/>
        <c:minorTickMark val="none"/>
        <c:tickLblPos val="nextTo"/>
        <c:crossAx val="181231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Units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'Perf. Overtime'!$E$3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Overtime'!$D$4:$D$14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Overtime'!$E$4:$E$14</c:f>
              <c:numCache>
                <c:formatCode>General</c:formatCode>
                <c:ptCount val="8"/>
                <c:pt idx="0">
                  <c:v>264</c:v>
                </c:pt>
                <c:pt idx="1">
                  <c:v>407</c:v>
                </c:pt>
                <c:pt idx="2">
                  <c:v>163</c:v>
                </c:pt>
                <c:pt idx="3">
                  <c:v>344</c:v>
                </c:pt>
                <c:pt idx="4">
                  <c:v>194</c:v>
                </c:pt>
                <c:pt idx="5">
                  <c:v>394</c:v>
                </c:pt>
                <c:pt idx="6">
                  <c:v>245</c:v>
                </c:pt>
                <c:pt idx="7">
                  <c:v>110</c:v>
                </c:pt>
              </c:numCache>
            </c:numRef>
          </c:val>
          <c:smooth val="0"/>
          <c:extLst>
            <c:ext xmlns:c16="http://schemas.microsoft.com/office/drawing/2014/chart" uri="{C3380CC4-5D6E-409C-BE32-E72D297353CC}">
              <c16:uniqueId val="{00000000-4E41-4919-8CC9-5C14E05FFE86}"/>
            </c:ext>
          </c:extLst>
        </c:ser>
        <c:dLbls>
          <c:dLblPos val="t"/>
          <c:showLegendKey val="0"/>
          <c:showVal val="1"/>
          <c:showCatName val="0"/>
          <c:showSerName val="0"/>
          <c:showPercent val="0"/>
          <c:showBubbleSize val="0"/>
        </c:dLbls>
        <c:marker val="1"/>
        <c:smooth val="0"/>
        <c:axId val="1812300224"/>
        <c:axId val="1812297344"/>
      </c:lineChart>
      <c:catAx>
        <c:axId val="18123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97344"/>
        <c:crosses val="autoZero"/>
        <c:auto val="1"/>
        <c:lblAlgn val="ctr"/>
        <c:lblOffset val="100"/>
        <c:noMultiLvlLbl val="0"/>
      </c:catAx>
      <c:valAx>
        <c:axId val="1812297344"/>
        <c:scaling>
          <c:orientation val="minMax"/>
        </c:scaling>
        <c:delete val="1"/>
        <c:axPos val="l"/>
        <c:numFmt formatCode="General" sourceLinked="1"/>
        <c:majorTickMark val="none"/>
        <c:minorTickMark val="none"/>
        <c:tickLblPos val="nextTo"/>
        <c:crossAx val="181230022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[E1X_Store (2)........xlsx]Perf. Overtime!Perf - PVT - Total Orders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 Overtime - Total Orders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'Perf. Overtime'!$H$3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'Perf. Overtime'!$G$4:$G$14</c:f>
              <c:multiLvlStrCache>
                <c:ptCount val="8"/>
                <c:lvl>
                  <c:pt idx="0">
                    <c:v>Qtr1</c:v>
                  </c:pt>
                  <c:pt idx="1">
                    <c:v>Qtr2</c:v>
                  </c:pt>
                  <c:pt idx="2">
                    <c:v>Qtr3</c:v>
                  </c:pt>
                  <c:pt idx="3">
                    <c:v>Qtr4</c:v>
                  </c:pt>
                  <c:pt idx="4">
                    <c:v>Qtr1</c:v>
                  </c:pt>
                  <c:pt idx="5">
                    <c:v>Qtr2</c:v>
                  </c:pt>
                  <c:pt idx="6">
                    <c:v>Qtr3</c:v>
                  </c:pt>
                  <c:pt idx="7">
                    <c:v>Qtr4</c:v>
                  </c:pt>
                </c:lvl>
                <c:lvl>
                  <c:pt idx="0">
                    <c:v>2021</c:v>
                  </c:pt>
                  <c:pt idx="4">
                    <c:v>2022</c:v>
                  </c:pt>
                </c:lvl>
              </c:multiLvlStrCache>
            </c:multiLvlStrRef>
          </c:cat>
          <c:val>
            <c:numRef>
              <c:f>'Perf. Overtime'!$H$4:$H$14</c:f>
              <c:numCache>
                <c:formatCode>General</c:formatCode>
                <c:ptCount val="8"/>
                <c:pt idx="0">
                  <c:v>5</c:v>
                </c:pt>
                <c:pt idx="1">
                  <c:v>6</c:v>
                </c:pt>
                <c:pt idx="2">
                  <c:v>5</c:v>
                </c:pt>
                <c:pt idx="3">
                  <c:v>6</c:v>
                </c:pt>
                <c:pt idx="4">
                  <c:v>5</c:v>
                </c:pt>
                <c:pt idx="5">
                  <c:v>6</c:v>
                </c:pt>
                <c:pt idx="6">
                  <c:v>6</c:v>
                </c:pt>
                <c:pt idx="7">
                  <c:v>4</c:v>
                </c:pt>
              </c:numCache>
            </c:numRef>
          </c:val>
          <c:smooth val="0"/>
          <c:extLst>
            <c:ext xmlns:c16="http://schemas.microsoft.com/office/drawing/2014/chart" uri="{C3380CC4-5D6E-409C-BE32-E72D297353CC}">
              <c16:uniqueId val="{00000000-816D-46C3-9D43-D16B6AC5E5EF}"/>
            </c:ext>
          </c:extLst>
        </c:ser>
        <c:dLbls>
          <c:dLblPos val="t"/>
          <c:showLegendKey val="0"/>
          <c:showVal val="1"/>
          <c:showCatName val="0"/>
          <c:showSerName val="0"/>
          <c:showPercent val="0"/>
          <c:showBubbleSize val="0"/>
        </c:dLbls>
        <c:marker val="1"/>
        <c:smooth val="0"/>
        <c:axId val="1812300224"/>
        <c:axId val="1812297344"/>
      </c:lineChart>
      <c:catAx>
        <c:axId val="181230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297344"/>
        <c:crosses val="autoZero"/>
        <c:auto val="1"/>
        <c:lblAlgn val="ctr"/>
        <c:lblOffset val="100"/>
        <c:noMultiLvlLbl val="0"/>
      </c:catAx>
      <c:valAx>
        <c:axId val="1812297344"/>
        <c:scaling>
          <c:orientation val="minMax"/>
        </c:scaling>
        <c:delete val="1"/>
        <c:axPos val="l"/>
        <c:numFmt formatCode="General" sourceLinked="1"/>
        <c:majorTickMark val="none"/>
        <c:minorTickMark val="none"/>
        <c:tickLblPos val="nextTo"/>
        <c:crossAx val="1812300224"/>
        <c:crosses val="autoZero"/>
        <c:crossBetween val="between"/>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129117</xdr:colOff>
      <xdr:row>17</xdr:row>
      <xdr:rowOff>120650</xdr:rowOff>
    </xdr:from>
    <xdr:to>
      <xdr:col>3</xdr:col>
      <xdr:colOff>116417</xdr:colOff>
      <xdr:row>36</xdr:row>
      <xdr:rowOff>52917</xdr:rowOff>
    </xdr:to>
    <xdr:graphicFrame macro="">
      <xdr:nvGraphicFramePr>
        <xdr:cNvPr id="2" name="Reps by Total Sales">
          <a:extLst>
            <a:ext uri="{FF2B5EF4-FFF2-40B4-BE49-F238E27FC236}">
              <a16:creationId xmlns:a16="http://schemas.microsoft.com/office/drawing/2014/main" id="{6C35BD4E-EEF3-B717-21BC-3C2AED8AD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158750</xdr:colOff>
      <xdr:row>17</xdr:row>
      <xdr:rowOff>42334</xdr:rowOff>
    </xdr:from>
    <xdr:to>
      <xdr:col>6</xdr:col>
      <xdr:colOff>158750</xdr:colOff>
      <xdr:row>35</xdr:row>
      <xdr:rowOff>126999</xdr:rowOff>
    </xdr:to>
    <xdr:graphicFrame macro="">
      <xdr:nvGraphicFramePr>
        <xdr:cNvPr id="3" name="Reps by Total Units">
          <a:extLst>
            <a:ext uri="{FF2B5EF4-FFF2-40B4-BE49-F238E27FC236}">
              <a16:creationId xmlns:a16="http://schemas.microsoft.com/office/drawing/2014/main" id="{7020BA4C-8EE5-D0C9-3B90-C40DDB97D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222249</xdr:colOff>
      <xdr:row>17</xdr:row>
      <xdr:rowOff>31750</xdr:rowOff>
    </xdr:from>
    <xdr:to>
      <xdr:col>10</xdr:col>
      <xdr:colOff>31749</xdr:colOff>
      <xdr:row>35</xdr:row>
      <xdr:rowOff>0</xdr:rowOff>
    </xdr:to>
    <xdr:graphicFrame macro="">
      <xdr:nvGraphicFramePr>
        <xdr:cNvPr id="4" name="Reps by Total Orders">
          <a:extLst>
            <a:ext uri="{FF2B5EF4-FFF2-40B4-BE49-F238E27FC236}">
              <a16:creationId xmlns:a16="http://schemas.microsoft.com/office/drawing/2014/main" id="{4279D8A1-DDC6-95BC-C45E-ABE370003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57150</xdr:rowOff>
    </xdr:from>
    <xdr:to>
      <xdr:col>1</xdr:col>
      <xdr:colOff>1073150</xdr:colOff>
      <xdr:row>18</xdr:row>
      <xdr:rowOff>25400</xdr:rowOff>
    </xdr:to>
    <xdr:graphicFrame macro="">
      <xdr:nvGraphicFramePr>
        <xdr:cNvPr id="2" name="Regions by Total Sales">
          <a:extLst>
            <a:ext uri="{FF2B5EF4-FFF2-40B4-BE49-F238E27FC236}">
              <a16:creationId xmlns:a16="http://schemas.microsoft.com/office/drawing/2014/main" id="{F2F798BB-742B-1B7F-6510-092B44E23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79375</xdr:colOff>
      <xdr:row>8</xdr:row>
      <xdr:rowOff>44450</xdr:rowOff>
    </xdr:from>
    <xdr:to>
      <xdr:col>4</xdr:col>
      <xdr:colOff>1085850</xdr:colOff>
      <xdr:row>18</xdr:row>
      <xdr:rowOff>165100</xdr:rowOff>
    </xdr:to>
    <xdr:graphicFrame macro="">
      <xdr:nvGraphicFramePr>
        <xdr:cNvPr id="3" name="Regions by Total Units">
          <a:extLst>
            <a:ext uri="{FF2B5EF4-FFF2-40B4-BE49-F238E27FC236}">
              <a16:creationId xmlns:a16="http://schemas.microsoft.com/office/drawing/2014/main" id="{E1B28EDA-E784-47A4-07BC-52B63CFF2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8</xdr:row>
      <xdr:rowOff>25400</xdr:rowOff>
    </xdr:from>
    <xdr:to>
      <xdr:col>8</xdr:col>
      <xdr:colOff>82550</xdr:colOff>
      <xdr:row>18</xdr:row>
      <xdr:rowOff>19050</xdr:rowOff>
    </xdr:to>
    <xdr:graphicFrame macro="">
      <xdr:nvGraphicFramePr>
        <xdr:cNvPr id="4" name="Regions by Total Orders">
          <a:extLst>
            <a:ext uri="{FF2B5EF4-FFF2-40B4-BE49-F238E27FC236}">
              <a16:creationId xmlns:a16="http://schemas.microsoft.com/office/drawing/2014/main" id="{00F841A3-ABA0-3CCB-F99F-70443F705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122411</xdr:colOff>
      <xdr:row>11</xdr:row>
      <xdr:rowOff>85305</xdr:rowOff>
    </xdr:from>
    <xdr:to>
      <xdr:col>1</xdr:col>
      <xdr:colOff>973311</xdr:colOff>
      <xdr:row>21</xdr:row>
      <xdr:rowOff>110704</xdr:rowOff>
    </xdr:to>
    <xdr:graphicFrame macro="">
      <xdr:nvGraphicFramePr>
        <xdr:cNvPr id="2" name="Items by Total Sales">
          <a:extLst>
            <a:ext uri="{FF2B5EF4-FFF2-40B4-BE49-F238E27FC236}">
              <a16:creationId xmlns:a16="http://schemas.microsoft.com/office/drawing/2014/main" id="{8CD82AEB-1E27-9779-F244-89FFD79C3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206375</xdr:colOff>
      <xdr:row>10</xdr:row>
      <xdr:rowOff>76200</xdr:rowOff>
    </xdr:from>
    <xdr:to>
      <xdr:col>6</xdr:col>
      <xdr:colOff>273050</xdr:colOff>
      <xdr:row>22</xdr:row>
      <xdr:rowOff>101600</xdr:rowOff>
    </xdr:to>
    <xdr:graphicFrame macro="">
      <xdr:nvGraphicFramePr>
        <xdr:cNvPr id="3" name="Items by Total Units">
          <a:extLst>
            <a:ext uri="{FF2B5EF4-FFF2-40B4-BE49-F238E27FC236}">
              <a16:creationId xmlns:a16="http://schemas.microsoft.com/office/drawing/2014/main" id="{BBF5D4C2-50D0-3985-F283-C74A22D41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495299</xdr:colOff>
      <xdr:row>11</xdr:row>
      <xdr:rowOff>12700</xdr:rowOff>
    </xdr:from>
    <xdr:to>
      <xdr:col>9</xdr:col>
      <xdr:colOff>314324</xdr:colOff>
      <xdr:row>19</xdr:row>
      <xdr:rowOff>139700</xdr:rowOff>
    </xdr:to>
    <xdr:graphicFrame macro="">
      <xdr:nvGraphicFramePr>
        <xdr:cNvPr id="4" name="Items by Total Orders">
          <a:extLst>
            <a:ext uri="{FF2B5EF4-FFF2-40B4-BE49-F238E27FC236}">
              <a16:creationId xmlns:a16="http://schemas.microsoft.com/office/drawing/2014/main" id="{3EC222D2-AE62-548A-791F-DD6315DD8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689428</xdr:colOff>
      <xdr:row>17</xdr:row>
      <xdr:rowOff>81643</xdr:rowOff>
    </xdr:from>
    <xdr:to>
      <xdr:col>7</xdr:col>
      <xdr:colOff>517071</xdr:colOff>
      <xdr:row>27</xdr:row>
      <xdr:rowOff>19957</xdr:rowOff>
    </xdr:to>
    <xdr:graphicFrame macro="">
      <xdr:nvGraphicFramePr>
        <xdr:cNvPr id="2" name="Perf. Overtime - Total Sales">
          <a:extLst>
            <a:ext uri="{FF2B5EF4-FFF2-40B4-BE49-F238E27FC236}">
              <a16:creationId xmlns:a16="http://schemas.microsoft.com/office/drawing/2014/main" id="{F2AD03A2-D98C-A788-8FC3-F816A8053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15</xdr:row>
      <xdr:rowOff>63498</xdr:rowOff>
    </xdr:from>
    <xdr:to>
      <xdr:col>12</xdr:col>
      <xdr:colOff>276678</xdr:colOff>
      <xdr:row>27</xdr:row>
      <xdr:rowOff>169635</xdr:rowOff>
    </xdr:to>
    <xdr:graphicFrame macro="">
      <xdr:nvGraphicFramePr>
        <xdr:cNvPr id="3" name="Perf. Overtime - Total Units">
          <a:extLst>
            <a:ext uri="{FF2B5EF4-FFF2-40B4-BE49-F238E27FC236}">
              <a16:creationId xmlns:a16="http://schemas.microsoft.com/office/drawing/2014/main" id="{8EAFC79D-69E8-DC26-5F61-D1B2D2562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140607</xdr:colOff>
      <xdr:row>9</xdr:row>
      <xdr:rowOff>102507</xdr:rowOff>
    </xdr:from>
    <xdr:to>
      <xdr:col>19</xdr:col>
      <xdr:colOff>512535</xdr:colOff>
      <xdr:row>24</xdr:row>
      <xdr:rowOff>124278</xdr:rowOff>
    </xdr:to>
    <xdr:graphicFrame macro="">
      <xdr:nvGraphicFramePr>
        <xdr:cNvPr id="4" name="Perf. Overtime - Total Orders">
          <a:extLst>
            <a:ext uri="{FF2B5EF4-FFF2-40B4-BE49-F238E27FC236}">
              <a16:creationId xmlns:a16="http://schemas.microsoft.com/office/drawing/2014/main" id="{E8C161F7-3A45-67CF-E849-53A7DC25F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321733</xdr:colOff>
      <xdr:row>1</xdr:row>
      <xdr:rowOff>31042</xdr:rowOff>
    </xdr:from>
    <xdr:to>
      <xdr:col>15</xdr:col>
      <xdr:colOff>1071033</xdr:colOff>
      <xdr:row>3</xdr:row>
      <xdr:rowOff>119265</xdr:rowOff>
    </xdr:to>
    <xdr:sp macro="" textlink="">
      <xdr:nvSpPr>
        <xdr:cNvPr id="2" name="Rectangle 1">
          <a:extLst>
            <a:ext uri="{FF2B5EF4-FFF2-40B4-BE49-F238E27FC236}">
              <a16:creationId xmlns:a16="http://schemas.microsoft.com/office/drawing/2014/main" id="{83600926-1C61-EF4E-3A2F-38B6A691ACB3}"/>
            </a:ext>
          </a:extLst>
        </xdr:cNvPr>
        <xdr:cNvSpPr/>
      </xdr:nvSpPr>
      <xdr:spPr>
        <a:xfrm>
          <a:off x="2932289" y="214486"/>
          <a:ext cx="11135077" cy="455112"/>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57151</xdr:colOff>
      <xdr:row>0</xdr:row>
      <xdr:rowOff>179914</xdr:rowOff>
    </xdr:from>
    <xdr:to>
      <xdr:col>7</xdr:col>
      <xdr:colOff>537634</xdr:colOff>
      <xdr:row>3</xdr:row>
      <xdr:rowOff>158749</xdr:rowOff>
    </xdr:to>
    <xdr:sp macro="" textlink="">
      <xdr:nvSpPr>
        <xdr:cNvPr id="3" name="Arrow: Pentagon 2">
          <a:extLst>
            <a:ext uri="{FF2B5EF4-FFF2-40B4-BE49-F238E27FC236}">
              <a16:creationId xmlns:a16="http://schemas.microsoft.com/office/drawing/2014/main" id="{9CEF3E43-2633-9C1D-1DBC-A93A527601D1}"/>
            </a:ext>
          </a:extLst>
        </xdr:cNvPr>
        <xdr:cNvSpPr/>
      </xdr:nvSpPr>
      <xdr:spPr>
        <a:xfrm>
          <a:off x="668339" y="179914"/>
          <a:ext cx="4179358" cy="621773"/>
        </a:xfrm>
        <a:prstGeom prst="homePlat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6</xdr:col>
      <xdr:colOff>42333</xdr:colOff>
      <xdr:row>6</xdr:row>
      <xdr:rowOff>1</xdr:rowOff>
    </xdr:from>
    <xdr:to>
      <xdr:col>8</xdr:col>
      <xdr:colOff>971549</xdr:colOff>
      <xdr:row>24</xdr:row>
      <xdr:rowOff>82297</xdr:rowOff>
    </xdr:to>
    <xdr:graphicFrame macro="">
      <xdr:nvGraphicFramePr>
        <xdr:cNvPr id="4" name="Reps by Total Sales">
          <a:extLst>
            <a:ext uri="{FF2B5EF4-FFF2-40B4-BE49-F238E27FC236}">
              <a16:creationId xmlns:a16="http://schemas.microsoft.com/office/drawing/2014/main" id="{3D0AA754-50C2-4C3D-805D-8B3A0460D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201084</xdr:colOff>
      <xdr:row>6</xdr:row>
      <xdr:rowOff>0</xdr:rowOff>
    </xdr:from>
    <xdr:to>
      <xdr:col>12</xdr:col>
      <xdr:colOff>53256</xdr:colOff>
      <xdr:row>24</xdr:row>
      <xdr:rowOff>84665</xdr:rowOff>
    </xdr:to>
    <xdr:graphicFrame macro="">
      <xdr:nvGraphicFramePr>
        <xdr:cNvPr id="5" name="Reps by Total Units">
          <a:extLst>
            <a:ext uri="{FF2B5EF4-FFF2-40B4-BE49-F238E27FC236}">
              <a16:creationId xmlns:a16="http://schemas.microsoft.com/office/drawing/2014/main" id="{1D9D00D2-384C-4DBC-80F3-B2F973061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1055</xdr:colOff>
      <xdr:row>5</xdr:row>
      <xdr:rowOff>158750</xdr:rowOff>
    </xdr:from>
    <xdr:to>
      <xdr:col>15</xdr:col>
      <xdr:colOff>932727</xdr:colOff>
      <xdr:row>24</xdr:row>
      <xdr:rowOff>50546</xdr:rowOff>
    </xdr:to>
    <xdr:graphicFrame macro="">
      <xdr:nvGraphicFramePr>
        <xdr:cNvPr id="6" name="Reps by Total Orders">
          <a:extLst>
            <a:ext uri="{FF2B5EF4-FFF2-40B4-BE49-F238E27FC236}">
              <a16:creationId xmlns:a16="http://schemas.microsoft.com/office/drawing/2014/main" id="{D422FADE-6A37-496A-B192-4DC808513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4232</xdr:colOff>
      <xdr:row>26</xdr:row>
      <xdr:rowOff>179915</xdr:rowOff>
    </xdr:from>
    <xdr:to>
      <xdr:col>8</xdr:col>
      <xdr:colOff>954192</xdr:colOff>
      <xdr:row>39</xdr:row>
      <xdr:rowOff>80855</xdr:rowOff>
    </xdr:to>
    <xdr:graphicFrame macro="">
      <xdr:nvGraphicFramePr>
        <xdr:cNvPr id="7" name="Items by Total Sales">
          <a:extLst>
            <a:ext uri="{FF2B5EF4-FFF2-40B4-BE49-F238E27FC236}">
              <a16:creationId xmlns:a16="http://schemas.microsoft.com/office/drawing/2014/main" id="{5A918A2A-EE6E-4C9E-AE2E-C05BD8773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195791</xdr:colOff>
      <xdr:row>26</xdr:row>
      <xdr:rowOff>185209</xdr:rowOff>
    </xdr:from>
    <xdr:to>
      <xdr:col>12</xdr:col>
      <xdr:colOff>66251</xdr:colOff>
      <xdr:row>39</xdr:row>
      <xdr:rowOff>86149</xdr:rowOff>
    </xdr:to>
    <xdr:graphicFrame macro="">
      <xdr:nvGraphicFramePr>
        <xdr:cNvPr id="8" name="Items by Total Units">
          <a:extLst>
            <a:ext uri="{FF2B5EF4-FFF2-40B4-BE49-F238E27FC236}">
              <a16:creationId xmlns:a16="http://schemas.microsoft.com/office/drawing/2014/main" id="{215A364B-24A9-406F-98A8-7E6484D86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2116</xdr:colOff>
      <xdr:row>26</xdr:row>
      <xdr:rowOff>169332</xdr:rowOff>
    </xdr:from>
    <xdr:to>
      <xdr:col>15</xdr:col>
      <xdr:colOff>952076</xdr:colOff>
      <xdr:row>39</xdr:row>
      <xdr:rowOff>70272</xdr:rowOff>
    </xdr:to>
    <xdr:graphicFrame macro="">
      <xdr:nvGraphicFramePr>
        <xdr:cNvPr id="9" name="Items by Total Orders">
          <a:extLst>
            <a:ext uri="{FF2B5EF4-FFF2-40B4-BE49-F238E27FC236}">
              <a16:creationId xmlns:a16="http://schemas.microsoft.com/office/drawing/2014/main" id="{21D72A1C-BF36-4FD9-B052-32DAE632C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42332</xdr:colOff>
      <xdr:row>41</xdr:row>
      <xdr:rowOff>158750</xdr:rowOff>
    </xdr:from>
    <xdr:to>
      <xdr:col>8</xdr:col>
      <xdr:colOff>992292</xdr:colOff>
      <xdr:row>54</xdr:row>
      <xdr:rowOff>31749</xdr:rowOff>
    </xdr:to>
    <xdr:graphicFrame macro="">
      <xdr:nvGraphicFramePr>
        <xdr:cNvPr id="10" name="Regions by Total Sales">
          <a:extLst>
            <a:ext uri="{FF2B5EF4-FFF2-40B4-BE49-F238E27FC236}">
              <a16:creationId xmlns:a16="http://schemas.microsoft.com/office/drawing/2014/main" id="{14D1386C-56CC-4337-AF1F-EDAB4419A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169333</xdr:colOff>
      <xdr:row>41</xdr:row>
      <xdr:rowOff>148164</xdr:rowOff>
    </xdr:from>
    <xdr:to>
      <xdr:col>12</xdr:col>
      <xdr:colOff>39793</xdr:colOff>
      <xdr:row>54</xdr:row>
      <xdr:rowOff>49104</xdr:rowOff>
    </xdr:to>
    <xdr:graphicFrame macro="">
      <xdr:nvGraphicFramePr>
        <xdr:cNvPr id="11" name="Regions by Total Units">
          <a:extLst>
            <a:ext uri="{FF2B5EF4-FFF2-40B4-BE49-F238E27FC236}">
              <a16:creationId xmlns:a16="http://schemas.microsoft.com/office/drawing/2014/main" id="{843FE802-8645-4730-B455-F0B3DBF67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5291</xdr:colOff>
      <xdr:row>41</xdr:row>
      <xdr:rowOff>120647</xdr:rowOff>
    </xdr:from>
    <xdr:to>
      <xdr:col>15</xdr:col>
      <xdr:colOff>955251</xdr:colOff>
      <xdr:row>54</xdr:row>
      <xdr:rowOff>27937</xdr:rowOff>
    </xdr:to>
    <xdr:graphicFrame macro="">
      <xdr:nvGraphicFramePr>
        <xdr:cNvPr id="12" name="Regions by Total Orders">
          <a:extLst>
            <a:ext uri="{FF2B5EF4-FFF2-40B4-BE49-F238E27FC236}">
              <a16:creationId xmlns:a16="http://schemas.microsoft.com/office/drawing/2014/main" id="{D40BD0C4-CE96-471F-B432-822957171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79376</xdr:colOff>
      <xdr:row>56</xdr:row>
      <xdr:rowOff>31749</xdr:rowOff>
    </xdr:from>
    <xdr:to>
      <xdr:col>8</xdr:col>
      <xdr:colOff>1029336</xdr:colOff>
      <xdr:row>71</xdr:row>
      <xdr:rowOff>100329</xdr:rowOff>
    </xdr:to>
    <xdr:graphicFrame macro="">
      <xdr:nvGraphicFramePr>
        <xdr:cNvPr id="13" name="Perf. Overtime - Total Sales">
          <a:extLst>
            <a:ext uri="{FF2B5EF4-FFF2-40B4-BE49-F238E27FC236}">
              <a16:creationId xmlns:a16="http://schemas.microsoft.com/office/drawing/2014/main" id="{B343A80E-B5C0-4116-B195-2D75E4A9E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171096</xdr:colOff>
      <xdr:row>56</xdr:row>
      <xdr:rowOff>31749</xdr:rowOff>
    </xdr:from>
    <xdr:to>
      <xdr:col>12</xdr:col>
      <xdr:colOff>78132</xdr:colOff>
      <xdr:row>71</xdr:row>
      <xdr:rowOff>100329</xdr:rowOff>
    </xdr:to>
    <xdr:graphicFrame macro="">
      <xdr:nvGraphicFramePr>
        <xdr:cNvPr id="14" name="Perf. Overtime - Total Units">
          <a:extLst>
            <a:ext uri="{FF2B5EF4-FFF2-40B4-BE49-F238E27FC236}">
              <a16:creationId xmlns:a16="http://schemas.microsoft.com/office/drawing/2014/main" id="{44C57FA3-F274-477B-AA47-8BE59B6B9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3880</xdr:colOff>
      <xdr:row>56</xdr:row>
      <xdr:rowOff>42332</xdr:rowOff>
    </xdr:from>
    <xdr:to>
      <xdr:col>15</xdr:col>
      <xdr:colOff>953840</xdr:colOff>
      <xdr:row>71</xdr:row>
      <xdr:rowOff>110912</xdr:rowOff>
    </xdr:to>
    <xdr:graphicFrame macro="">
      <xdr:nvGraphicFramePr>
        <xdr:cNvPr id="15" name="Perf. Overtime - Total Orders">
          <a:extLst>
            <a:ext uri="{FF2B5EF4-FFF2-40B4-BE49-F238E27FC236}">
              <a16:creationId xmlns:a16="http://schemas.microsoft.com/office/drawing/2014/main" id="{C59845B9-AFF7-4E82-BB90-188ECB781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306917</xdr:colOff>
      <xdr:row>6</xdr:row>
      <xdr:rowOff>31045</xdr:rowOff>
    </xdr:from>
    <xdr:to>
      <xdr:col>5</xdr:col>
      <xdr:colOff>479777</xdr:colOff>
      <xdr:row>10</xdr:row>
      <xdr:rowOff>77611</xdr:rowOff>
    </xdr:to>
    <mc:AlternateContent xmlns:mc="http://schemas.openxmlformats.org/markup-compatibility/2006" xmlns:a14="http://schemas.microsoft.com/office/drawing/2010/main">
      <mc:Choice Requires="a14">
        <xdr:graphicFrame macro="">
          <xdr:nvGraphicFramePr>
            <xdr:cNvPr id="20" name="Years (OrderDate)">
              <a:extLst>
                <a:ext uri="{FF2B5EF4-FFF2-40B4-BE49-F238E27FC236}">
                  <a16:creationId xmlns:a16="http://schemas.microsoft.com/office/drawing/2014/main" id="{E9788794-811A-0183-DAA6-ECDF6FEB8E48}"/>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1097139" y="1131712"/>
              <a:ext cx="1993194" cy="716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317500</xdr:colOff>
      <xdr:row>12</xdr:row>
      <xdr:rowOff>16935</xdr:rowOff>
    </xdr:from>
    <xdr:to>
      <xdr:col>5</xdr:col>
      <xdr:colOff>479777</xdr:colOff>
      <xdr:row>18</xdr:row>
      <xdr:rowOff>39511</xdr:rowOff>
    </xdr:to>
    <mc:AlternateContent xmlns:mc="http://schemas.openxmlformats.org/markup-compatibility/2006" xmlns:a14="http://schemas.microsoft.com/office/drawing/2010/main">
      <mc:Choice Requires="a14">
        <xdr:graphicFrame macro="">
          <xdr:nvGraphicFramePr>
            <xdr:cNvPr id="16" name="Quarters (OrderDate)">
              <a:extLst>
                <a:ext uri="{FF2B5EF4-FFF2-40B4-BE49-F238E27FC236}">
                  <a16:creationId xmlns:a16="http://schemas.microsoft.com/office/drawing/2014/main" id="{44107F03-64C1-7747-8A4E-9B65F407B8B3}"/>
                </a:ext>
              </a:extLst>
            </xdr:cNvPr>
            <xdr:cNvGraphicFramePr/>
          </xdr:nvGraphicFramePr>
          <xdr:xfrm>
            <a:off x="0" y="0"/>
            <a:ext cx="0" cy="0"/>
          </xdr:xfrm>
          <a:graphic>
            <a:graphicData uri="http://schemas.microsoft.com/office/drawing/2010/slicer">
              <sle:slicer xmlns:sle="http://schemas.microsoft.com/office/drawing/2010/slicer" name="Quarters (OrderDate)"/>
            </a:graphicData>
          </a:graphic>
        </xdr:graphicFrame>
      </mc:Choice>
      <mc:Fallback xmlns="">
        <xdr:sp macro="" textlink="">
          <xdr:nvSpPr>
            <xdr:cNvPr id="0" name=""/>
            <xdr:cNvSpPr>
              <a:spLocks noTextEdit="1"/>
            </xdr:cNvSpPr>
          </xdr:nvSpPr>
          <xdr:spPr>
            <a:xfrm>
              <a:off x="1107722" y="2218268"/>
              <a:ext cx="1982611" cy="1041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345722</xdr:colOff>
      <xdr:row>19</xdr:row>
      <xdr:rowOff>129823</xdr:rowOff>
    </xdr:from>
    <xdr:to>
      <xdr:col>5</xdr:col>
      <xdr:colOff>423333</xdr:colOff>
      <xdr:row>34</xdr:row>
      <xdr:rowOff>26459</xdr:rowOff>
    </xdr:to>
    <mc:AlternateContent xmlns:mc="http://schemas.openxmlformats.org/markup-compatibility/2006" xmlns:a14="http://schemas.microsoft.com/office/drawing/2010/main">
      <mc:Choice Requires="a14">
        <xdr:graphicFrame macro="">
          <xdr:nvGraphicFramePr>
            <xdr:cNvPr id="17" name="Months (OrderDate)">
              <a:extLst>
                <a:ext uri="{FF2B5EF4-FFF2-40B4-BE49-F238E27FC236}">
                  <a16:creationId xmlns:a16="http://schemas.microsoft.com/office/drawing/2014/main" id="{34B59B71-CE4B-A582-A4DA-63B3B53F3B6F}"/>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135944" y="3615267"/>
              <a:ext cx="1897945" cy="242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359834</xdr:colOff>
      <xdr:row>35</xdr:row>
      <xdr:rowOff>2820</xdr:rowOff>
    </xdr:from>
    <xdr:to>
      <xdr:col>5</xdr:col>
      <xdr:colOff>437444</xdr:colOff>
      <xdr:row>45</xdr:row>
      <xdr:rowOff>67027</xdr:rowOff>
    </xdr:to>
    <mc:AlternateContent xmlns:mc="http://schemas.openxmlformats.org/markup-compatibility/2006" xmlns:a14="http://schemas.microsoft.com/office/drawing/2010/main">
      <mc:Choice Requires="a14">
        <xdr:graphicFrame macro="">
          <xdr:nvGraphicFramePr>
            <xdr:cNvPr id="18" name="Item">
              <a:extLst>
                <a:ext uri="{FF2B5EF4-FFF2-40B4-BE49-F238E27FC236}">
                  <a16:creationId xmlns:a16="http://schemas.microsoft.com/office/drawing/2014/main" id="{F28EE831-CE05-7282-4A43-C1324B1DDB8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50056" y="6423376"/>
              <a:ext cx="1897944" cy="1746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359834</xdr:colOff>
      <xdr:row>64</xdr:row>
      <xdr:rowOff>15170</xdr:rowOff>
    </xdr:from>
    <xdr:to>
      <xdr:col>5</xdr:col>
      <xdr:colOff>368300</xdr:colOff>
      <xdr:row>71</xdr:row>
      <xdr:rowOff>103012</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10737382-8747-C0D1-0691-F8001ACB30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7709" y="12477045"/>
              <a:ext cx="1818216" cy="1310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373944</xdr:colOff>
      <xdr:row>46</xdr:row>
      <xdr:rowOff>59268</xdr:rowOff>
    </xdr:from>
    <xdr:to>
      <xdr:col>5</xdr:col>
      <xdr:colOff>382410</xdr:colOff>
      <xdr:row>64</xdr:row>
      <xdr:rowOff>31750</xdr:rowOff>
    </xdr:to>
    <mc:AlternateContent xmlns:mc="http://schemas.openxmlformats.org/markup-compatibility/2006" xmlns:a14="http://schemas.microsoft.com/office/drawing/2010/main">
      <mc:Choice Requires="a14">
        <xdr:graphicFrame macro="">
          <xdr:nvGraphicFramePr>
            <xdr:cNvPr id="21" name="Rep">
              <a:extLst>
                <a:ext uri="{FF2B5EF4-FFF2-40B4-BE49-F238E27FC236}">
                  <a16:creationId xmlns:a16="http://schemas.microsoft.com/office/drawing/2014/main" id="{D9AF7441-C67F-5955-CD44-918EC6B7B8A5}"/>
                </a:ext>
              </a:extLst>
            </xdr:cNvPr>
            <xdr:cNvGraphicFramePr/>
          </xdr:nvGraphicFramePr>
          <xdr:xfrm>
            <a:off x="0" y="0"/>
            <a:ext cx="0" cy="0"/>
          </xdr:xfrm>
          <a:graphic>
            <a:graphicData uri="http://schemas.microsoft.com/office/drawing/2010/slicer">
              <sle:slicer xmlns:sle="http://schemas.microsoft.com/office/drawing/2010/slicer" name="Rep"/>
            </a:graphicData>
          </a:graphic>
        </xdr:graphicFrame>
      </mc:Choice>
      <mc:Fallback xmlns="">
        <xdr:sp macro="" textlink="">
          <xdr:nvSpPr>
            <xdr:cNvPr id="0" name=""/>
            <xdr:cNvSpPr>
              <a:spLocks noTextEdit="1"/>
            </xdr:cNvSpPr>
          </xdr:nvSpPr>
          <xdr:spPr>
            <a:xfrm>
              <a:off x="1164166" y="84977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1001887</xdr:colOff>
      <xdr:row>1</xdr:row>
      <xdr:rowOff>42334</xdr:rowOff>
    </xdr:from>
    <xdr:to>
      <xdr:col>9</xdr:col>
      <xdr:colOff>552815</xdr:colOff>
      <xdr:row>3</xdr:row>
      <xdr:rowOff>56445</xdr:rowOff>
    </xdr:to>
    <xdr:sp macro="" textlink="">
      <xdr:nvSpPr>
        <xdr:cNvPr id="22" name="Rectangle: Top Corners Rounded 21">
          <a:extLst>
            <a:ext uri="{FF2B5EF4-FFF2-40B4-BE49-F238E27FC236}">
              <a16:creationId xmlns:a16="http://schemas.microsoft.com/office/drawing/2014/main" id="{BFC33649-78C7-8A29-4C78-9FBCD39DA094}"/>
            </a:ext>
          </a:extLst>
        </xdr:cNvPr>
        <xdr:cNvSpPr/>
      </xdr:nvSpPr>
      <xdr:spPr>
        <a:xfrm>
          <a:off x="5311950" y="224897"/>
          <a:ext cx="1709928" cy="537986"/>
        </a:xfrm>
        <a:prstGeom prst="round2Same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1042458</xdr:colOff>
      <xdr:row>1</xdr:row>
      <xdr:rowOff>80257</xdr:rowOff>
    </xdr:from>
    <xdr:to>
      <xdr:col>15</xdr:col>
      <xdr:colOff>593386</xdr:colOff>
      <xdr:row>3</xdr:row>
      <xdr:rowOff>94368</xdr:rowOff>
    </xdr:to>
    <xdr:sp macro="" textlink="">
      <xdr:nvSpPr>
        <xdr:cNvPr id="23" name="Rectangle: Top Corners Rounded 22">
          <a:extLst>
            <a:ext uri="{FF2B5EF4-FFF2-40B4-BE49-F238E27FC236}">
              <a16:creationId xmlns:a16="http://schemas.microsoft.com/office/drawing/2014/main" id="{D4592AE3-C90D-4E65-B4D3-6EF1148476F4}"/>
            </a:ext>
          </a:extLst>
        </xdr:cNvPr>
        <xdr:cNvSpPr/>
      </xdr:nvSpPr>
      <xdr:spPr>
        <a:xfrm>
          <a:off x="11829521" y="262820"/>
          <a:ext cx="1709928" cy="537986"/>
        </a:xfrm>
        <a:prstGeom prst="round2Same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709965</xdr:colOff>
      <xdr:row>1</xdr:row>
      <xdr:rowOff>72321</xdr:rowOff>
    </xdr:from>
    <xdr:to>
      <xdr:col>12</xdr:col>
      <xdr:colOff>261937</xdr:colOff>
      <xdr:row>3</xdr:row>
      <xdr:rowOff>86432</xdr:rowOff>
    </xdr:to>
    <xdr:sp macro="" textlink="">
      <xdr:nvSpPr>
        <xdr:cNvPr id="24" name="Rectangle: Top Corners Rounded 23">
          <a:extLst>
            <a:ext uri="{FF2B5EF4-FFF2-40B4-BE49-F238E27FC236}">
              <a16:creationId xmlns:a16="http://schemas.microsoft.com/office/drawing/2014/main" id="{91ABFE68-375E-467C-832B-3B55FB6BAD23}"/>
            </a:ext>
          </a:extLst>
        </xdr:cNvPr>
        <xdr:cNvSpPr/>
      </xdr:nvSpPr>
      <xdr:spPr>
        <a:xfrm>
          <a:off x="8258528" y="254884"/>
          <a:ext cx="1710972" cy="537986"/>
        </a:xfrm>
        <a:prstGeom prst="round2Same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423334</xdr:colOff>
      <xdr:row>1</xdr:row>
      <xdr:rowOff>54682</xdr:rowOff>
    </xdr:from>
    <xdr:to>
      <xdr:col>9</xdr:col>
      <xdr:colOff>492124</xdr:colOff>
      <xdr:row>2</xdr:row>
      <xdr:rowOff>7938</xdr:rowOff>
    </xdr:to>
    <xdr:sp macro="" textlink="">
      <xdr:nvSpPr>
        <xdr:cNvPr id="25" name="TextBox 24">
          <a:extLst>
            <a:ext uri="{FF2B5EF4-FFF2-40B4-BE49-F238E27FC236}">
              <a16:creationId xmlns:a16="http://schemas.microsoft.com/office/drawing/2014/main" id="{2B51982F-A3DC-45D0-EF2E-471D98BD68F2}"/>
            </a:ext>
          </a:extLst>
        </xdr:cNvPr>
        <xdr:cNvSpPr txBox="1"/>
      </xdr:nvSpPr>
      <xdr:spPr>
        <a:xfrm>
          <a:off x="5812897" y="237245"/>
          <a:ext cx="1148290" cy="231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rgbClr val="FF0000"/>
              </a:solidFill>
            </a:rPr>
            <a:t>TOTAL SALES</a:t>
          </a:r>
        </a:p>
      </xdr:txBody>
    </xdr:sp>
    <xdr:clientData/>
  </xdr:twoCellAnchor>
  <xdr:twoCellAnchor>
    <xdr:from>
      <xdr:col>8</xdr:col>
      <xdr:colOff>246063</xdr:colOff>
      <xdr:row>1</xdr:row>
      <xdr:rowOff>212549</xdr:rowOff>
    </xdr:from>
    <xdr:to>
      <xdr:col>9</xdr:col>
      <xdr:colOff>357187</xdr:colOff>
      <xdr:row>4</xdr:row>
      <xdr:rowOff>5292</xdr:rowOff>
    </xdr:to>
    <xdr:sp macro="" textlink="'Perf. Overtime'!B18">
      <xdr:nvSpPr>
        <xdr:cNvPr id="26" name="TextBox 25">
          <a:extLst>
            <a:ext uri="{FF2B5EF4-FFF2-40B4-BE49-F238E27FC236}">
              <a16:creationId xmlns:a16="http://schemas.microsoft.com/office/drawing/2014/main" id="{D050A717-1793-4128-4713-8DA2411DF4BC}"/>
            </a:ext>
          </a:extLst>
        </xdr:cNvPr>
        <xdr:cNvSpPr txBox="1"/>
      </xdr:nvSpPr>
      <xdr:spPr>
        <a:xfrm>
          <a:off x="5635626" y="395112"/>
          <a:ext cx="1190624" cy="49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03A17E-36CF-41A2-A724-463E2FCFE058}" type="TxLink">
            <a:rPr lang="en-US" sz="1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t> $19,627.88 </a:t>
          </a:fld>
          <a:endParaRPr lang="en-US" sz="2000" b="1" cap="none" spc="0">
            <a:ln w="0"/>
            <a:solidFill>
              <a:srgbClr val="FF0000"/>
            </a:solidFill>
            <a:effectLst>
              <a:outerShdw blurRad="38100" dist="19050" dir="2700000" algn="tl" rotWithShape="0">
                <a:schemeClr val="dk1">
                  <a:alpha val="40000"/>
                </a:schemeClr>
              </a:outerShdw>
            </a:effectLst>
          </a:endParaRPr>
        </a:p>
      </xdr:txBody>
    </xdr:sp>
    <xdr:clientData/>
  </xdr:twoCellAnchor>
  <xdr:twoCellAnchor>
    <xdr:from>
      <xdr:col>11</xdr:col>
      <xdr:colOff>103186</xdr:colOff>
      <xdr:row>1</xdr:row>
      <xdr:rowOff>79376</xdr:rowOff>
    </xdr:from>
    <xdr:to>
      <xdr:col>12</xdr:col>
      <xdr:colOff>47623</xdr:colOff>
      <xdr:row>1</xdr:row>
      <xdr:rowOff>238126</xdr:rowOff>
    </xdr:to>
    <xdr:sp macro="" textlink="">
      <xdr:nvSpPr>
        <xdr:cNvPr id="28" name="TextBox 27">
          <a:extLst>
            <a:ext uri="{FF2B5EF4-FFF2-40B4-BE49-F238E27FC236}">
              <a16:creationId xmlns:a16="http://schemas.microsoft.com/office/drawing/2014/main" id="{F0E3A944-7A89-79CB-CFEE-450FB5985482}"/>
            </a:ext>
          </a:extLst>
        </xdr:cNvPr>
        <xdr:cNvSpPr txBox="1"/>
      </xdr:nvSpPr>
      <xdr:spPr>
        <a:xfrm>
          <a:off x="8731249" y="261939"/>
          <a:ext cx="1023937" cy="158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FF0000"/>
              </a:solidFill>
            </a:rPr>
            <a:t>TOTAL</a:t>
          </a:r>
          <a:r>
            <a:rPr lang="en-US" sz="900" b="1" baseline="0">
              <a:solidFill>
                <a:srgbClr val="FF0000"/>
              </a:solidFill>
            </a:rPr>
            <a:t> UNITS</a:t>
          </a:r>
          <a:endParaRPr lang="en-US" sz="900" b="1">
            <a:solidFill>
              <a:srgbClr val="FF0000"/>
            </a:solidFill>
          </a:endParaRPr>
        </a:p>
      </xdr:txBody>
    </xdr:sp>
    <xdr:clientData/>
  </xdr:twoCellAnchor>
  <xdr:twoCellAnchor>
    <xdr:from>
      <xdr:col>11</xdr:col>
      <xdr:colOff>150813</xdr:colOff>
      <xdr:row>1</xdr:row>
      <xdr:rowOff>261936</xdr:rowOff>
    </xdr:from>
    <xdr:to>
      <xdr:col>12</xdr:col>
      <xdr:colOff>55563</xdr:colOff>
      <xdr:row>3</xdr:row>
      <xdr:rowOff>39686</xdr:rowOff>
    </xdr:to>
    <xdr:sp macro="" textlink="'Perf. Overtime'!B19">
      <xdr:nvSpPr>
        <xdr:cNvPr id="29" name="TextBox 28">
          <a:extLst>
            <a:ext uri="{FF2B5EF4-FFF2-40B4-BE49-F238E27FC236}">
              <a16:creationId xmlns:a16="http://schemas.microsoft.com/office/drawing/2014/main" id="{2FB29370-0A14-AA32-06B2-0D14E1E58D04}"/>
            </a:ext>
          </a:extLst>
        </xdr:cNvPr>
        <xdr:cNvSpPr txBox="1"/>
      </xdr:nvSpPr>
      <xdr:spPr>
        <a:xfrm>
          <a:off x="8778876" y="444499"/>
          <a:ext cx="984250"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BC7349-70AD-4766-954D-1A0C7DC94DE5}" type="TxLink">
            <a:rPr lang="en-US" sz="1400" b="1" i="0" u="none" strike="noStrike">
              <a:solidFill>
                <a:srgbClr val="FF0000"/>
              </a:solidFill>
              <a:latin typeface="Calibri"/>
              <a:cs typeface="Calibri"/>
            </a:rPr>
            <a:pPr/>
            <a:t> 2,121 </a:t>
          </a:fld>
          <a:endParaRPr lang="en-US" sz="2000" b="1">
            <a:solidFill>
              <a:srgbClr val="FF0000"/>
            </a:solidFill>
          </a:endParaRPr>
        </a:p>
      </xdr:txBody>
    </xdr:sp>
    <xdr:clientData/>
  </xdr:twoCellAnchor>
  <xdr:twoCellAnchor>
    <xdr:from>
      <xdr:col>14</xdr:col>
      <xdr:colOff>317500</xdr:colOff>
      <xdr:row>1</xdr:row>
      <xdr:rowOff>79374</xdr:rowOff>
    </xdr:from>
    <xdr:to>
      <xdr:col>15</xdr:col>
      <xdr:colOff>182563</xdr:colOff>
      <xdr:row>2</xdr:row>
      <xdr:rowOff>31750</xdr:rowOff>
    </xdr:to>
    <xdr:sp macro="" textlink="">
      <xdr:nvSpPr>
        <xdr:cNvPr id="30" name="TextBox 29">
          <a:extLst>
            <a:ext uri="{FF2B5EF4-FFF2-40B4-BE49-F238E27FC236}">
              <a16:creationId xmlns:a16="http://schemas.microsoft.com/office/drawing/2014/main" id="{A696841B-9FB7-7A72-0CFD-431F716EDE6E}"/>
            </a:ext>
          </a:extLst>
        </xdr:cNvPr>
        <xdr:cNvSpPr txBox="1"/>
      </xdr:nvSpPr>
      <xdr:spPr>
        <a:xfrm>
          <a:off x="12184063" y="261937"/>
          <a:ext cx="944563" cy="230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rgbClr val="FF0000"/>
              </a:solidFill>
            </a:rPr>
            <a:t>TOTAL ORDERS</a:t>
          </a:r>
        </a:p>
      </xdr:txBody>
    </xdr:sp>
    <xdr:clientData/>
  </xdr:twoCellAnchor>
  <xdr:twoCellAnchor>
    <xdr:from>
      <xdr:col>14</xdr:col>
      <xdr:colOff>523875</xdr:colOff>
      <xdr:row>1</xdr:row>
      <xdr:rowOff>253999</xdr:rowOff>
    </xdr:from>
    <xdr:to>
      <xdr:col>15</xdr:col>
      <xdr:colOff>79375</xdr:colOff>
      <xdr:row>3</xdr:row>
      <xdr:rowOff>23812</xdr:rowOff>
    </xdr:to>
    <xdr:sp macro="" textlink="'Perf. Overtime'!B20">
      <xdr:nvSpPr>
        <xdr:cNvPr id="31" name="TextBox 30">
          <a:extLst>
            <a:ext uri="{FF2B5EF4-FFF2-40B4-BE49-F238E27FC236}">
              <a16:creationId xmlns:a16="http://schemas.microsoft.com/office/drawing/2014/main" id="{CEA8AD99-7EDF-B6F1-4821-2B7BCF694084}"/>
            </a:ext>
          </a:extLst>
        </xdr:cNvPr>
        <xdr:cNvSpPr txBox="1"/>
      </xdr:nvSpPr>
      <xdr:spPr>
        <a:xfrm>
          <a:off x="12390438" y="436562"/>
          <a:ext cx="635000" cy="293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91F922-0937-4A39-BDF0-1E3F1AA4FDEE}" type="TxLink">
            <a:rPr lang="en-US" sz="1600" b="1" i="0" u="none" strike="noStrike">
              <a:solidFill>
                <a:srgbClr val="FF0000"/>
              </a:solidFill>
              <a:latin typeface="Calibri"/>
              <a:cs typeface="Calibri"/>
            </a:rPr>
            <a:pPr/>
            <a:t>43</a:t>
          </a:fld>
          <a:endParaRPr lang="en-US" sz="2400" b="1">
            <a:solidFill>
              <a:srgbClr val="FF0000"/>
            </a:solidFill>
          </a:endParaRPr>
        </a:p>
      </xdr:txBody>
    </xdr:sp>
    <xdr:clientData/>
  </xdr:twoCellAnchor>
  <xdr:twoCellAnchor>
    <xdr:from>
      <xdr:col>2</xdr:col>
      <xdr:colOff>396875</xdr:colOff>
      <xdr:row>1</xdr:row>
      <xdr:rowOff>15875</xdr:rowOff>
    </xdr:from>
    <xdr:to>
      <xdr:col>6</xdr:col>
      <xdr:colOff>809625</xdr:colOff>
      <xdr:row>1</xdr:row>
      <xdr:rowOff>333375</xdr:rowOff>
    </xdr:to>
    <xdr:sp macro="" textlink="">
      <xdr:nvSpPr>
        <xdr:cNvPr id="32" name="TextBox 31">
          <a:extLst>
            <a:ext uri="{FF2B5EF4-FFF2-40B4-BE49-F238E27FC236}">
              <a16:creationId xmlns:a16="http://schemas.microsoft.com/office/drawing/2014/main" id="{C552668F-878D-62E6-504D-F9625EF39738}"/>
            </a:ext>
          </a:extLst>
        </xdr:cNvPr>
        <xdr:cNvSpPr txBox="1"/>
      </xdr:nvSpPr>
      <xdr:spPr>
        <a:xfrm>
          <a:off x="1174750" y="206375"/>
          <a:ext cx="2825750" cy="3175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E1X STORE</a:t>
          </a:r>
        </a:p>
      </xdr:txBody>
    </xdr:sp>
    <xdr:clientData/>
  </xdr:twoCellAnchor>
  <xdr:twoCellAnchor>
    <xdr:from>
      <xdr:col>3</xdr:col>
      <xdr:colOff>47625</xdr:colOff>
      <xdr:row>1</xdr:row>
      <xdr:rowOff>381001</xdr:rowOff>
    </xdr:from>
    <xdr:to>
      <xdr:col>6</xdr:col>
      <xdr:colOff>650875</xdr:colOff>
      <xdr:row>3</xdr:row>
      <xdr:rowOff>79376</xdr:rowOff>
    </xdr:to>
    <xdr:sp macro="" textlink="">
      <xdr:nvSpPr>
        <xdr:cNvPr id="33" name="TextBox 32">
          <a:extLst>
            <a:ext uri="{FF2B5EF4-FFF2-40B4-BE49-F238E27FC236}">
              <a16:creationId xmlns:a16="http://schemas.microsoft.com/office/drawing/2014/main" id="{2DE4E0CA-145C-B5A8-E8F7-D9034A2E4FD3}"/>
            </a:ext>
          </a:extLst>
        </xdr:cNvPr>
        <xdr:cNvSpPr txBox="1"/>
      </xdr:nvSpPr>
      <xdr:spPr>
        <a:xfrm>
          <a:off x="1428750" y="571501"/>
          <a:ext cx="2413000" cy="3492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rPr>
            <a:t>2021- 2022 Data</a:t>
          </a:r>
          <a:r>
            <a:rPr lang="en-US" sz="1600" b="1" baseline="0">
              <a:solidFill>
                <a:srgbClr val="FF0000"/>
              </a:solidFill>
            </a:rPr>
            <a:t> Analysis</a:t>
          </a:r>
          <a:endParaRPr lang="en-US" sz="1600" b="1">
            <a:solidFill>
              <a:srgbClr val="FF0000"/>
            </a:solidFill>
          </a:endParaRPr>
        </a:p>
      </xdr:txBody>
    </xdr:sp>
    <xdr:clientData/>
  </xdr:twoCellAnchor>
  <xdr:twoCellAnchor>
    <xdr:from>
      <xdr:col>11</xdr:col>
      <xdr:colOff>523874</xdr:colOff>
      <xdr:row>4</xdr:row>
      <xdr:rowOff>0</xdr:rowOff>
    </xdr:from>
    <xdr:to>
      <xdr:col>16</xdr:col>
      <xdr:colOff>15874</xdr:colOff>
      <xdr:row>5</xdr:row>
      <xdr:rowOff>95250</xdr:rowOff>
    </xdr:to>
    <xdr:sp macro="" textlink="">
      <xdr:nvSpPr>
        <xdr:cNvPr id="40" name="Arrow: Pentagon 39">
          <a:extLst>
            <a:ext uri="{FF2B5EF4-FFF2-40B4-BE49-F238E27FC236}">
              <a16:creationId xmlns:a16="http://schemas.microsoft.com/office/drawing/2014/main" id="{5BD49E18-C5F5-7679-C5C0-F2EC6326AB79}"/>
            </a:ext>
          </a:extLst>
        </xdr:cNvPr>
        <xdr:cNvSpPr/>
      </xdr:nvSpPr>
      <xdr:spPr>
        <a:xfrm flipH="1">
          <a:off x="9112249" y="1031875"/>
          <a:ext cx="4206875" cy="285750"/>
        </a:xfrm>
        <a:prstGeom prst="homePlat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a:t>REPS</a:t>
          </a:r>
          <a:r>
            <a:rPr lang="en-US" sz="1400" b="1" baseline="0"/>
            <a:t> INSIGHTS</a:t>
          </a:r>
          <a:endParaRPr lang="en-US" sz="1400" b="1"/>
        </a:p>
      </xdr:txBody>
    </xdr:sp>
    <xdr:clientData/>
  </xdr:twoCellAnchor>
  <xdr:twoCellAnchor>
    <xdr:from>
      <xdr:col>11</xdr:col>
      <xdr:colOff>501649</xdr:colOff>
      <xdr:row>24</xdr:row>
      <xdr:rowOff>136525</xdr:rowOff>
    </xdr:from>
    <xdr:to>
      <xdr:col>15</xdr:col>
      <xdr:colOff>1073149</xdr:colOff>
      <xdr:row>26</xdr:row>
      <xdr:rowOff>41275</xdr:rowOff>
    </xdr:to>
    <xdr:sp macro="" textlink="">
      <xdr:nvSpPr>
        <xdr:cNvPr id="41" name="Arrow: Pentagon 40">
          <a:extLst>
            <a:ext uri="{FF2B5EF4-FFF2-40B4-BE49-F238E27FC236}">
              <a16:creationId xmlns:a16="http://schemas.microsoft.com/office/drawing/2014/main" id="{BA29A803-5075-2354-5E12-7787A0DA5C87}"/>
            </a:ext>
          </a:extLst>
        </xdr:cNvPr>
        <xdr:cNvSpPr/>
      </xdr:nvSpPr>
      <xdr:spPr>
        <a:xfrm flipH="1">
          <a:off x="9090024" y="4978400"/>
          <a:ext cx="4206875" cy="285750"/>
        </a:xfrm>
        <a:prstGeom prst="homePlat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baseline="0"/>
            <a:t>ITEMS INSIGHTS</a:t>
          </a:r>
          <a:endParaRPr lang="en-US" sz="1400" b="1"/>
        </a:p>
      </xdr:txBody>
    </xdr:sp>
    <xdr:clientData/>
  </xdr:twoCellAnchor>
  <xdr:twoCellAnchor>
    <xdr:from>
      <xdr:col>11</xdr:col>
      <xdr:colOff>527049</xdr:colOff>
      <xdr:row>39</xdr:row>
      <xdr:rowOff>130175</xdr:rowOff>
    </xdr:from>
    <xdr:to>
      <xdr:col>16</xdr:col>
      <xdr:colOff>19049</xdr:colOff>
      <xdr:row>41</xdr:row>
      <xdr:rowOff>34925</xdr:rowOff>
    </xdr:to>
    <xdr:sp macro="" textlink="">
      <xdr:nvSpPr>
        <xdr:cNvPr id="42" name="Arrow: Pentagon 41">
          <a:extLst>
            <a:ext uri="{FF2B5EF4-FFF2-40B4-BE49-F238E27FC236}">
              <a16:creationId xmlns:a16="http://schemas.microsoft.com/office/drawing/2014/main" id="{437CC767-0C38-A149-6FD5-69ED7D4BA89F}"/>
            </a:ext>
          </a:extLst>
        </xdr:cNvPr>
        <xdr:cNvSpPr/>
      </xdr:nvSpPr>
      <xdr:spPr>
        <a:xfrm flipH="1">
          <a:off x="9115424" y="7829550"/>
          <a:ext cx="4206875" cy="285750"/>
        </a:xfrm>
        <a:prstGeom prst="homePlat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baseline="0"/>
            <a:t>REGIONS INSIGHTS</a:t>
          </a:r>
          <a:endParaRPr lang="en-US" sz="1400" b="1"/>
        </a:p>
      </xdr:txBody>
    </xdr:sp>
    <xdr:clientData/>
  </xdr:twoCellAnchor>
  <xdr:twoCellAnchor>
    <xdr:from>
      <xdr:col>11</xdr:col>
      <xdr:colOff>520699</xdr:colOff>
      <xdr:row>54</xdr:row>
      <xdr:rowOff>101600</xdr:rowOff>
    </xdr:from>
    <xdr:to>
      <xdr:col>16</xdr:col>
      <xdr:colOff>12699</xdr:colOff>
      <xdr:row>56</xdr:row>
      <xdr:rowOff>6350</xdr:rowOff>
    </xdr:to>
    <xdr:sp macro="" textlink="">
      <xdr:nvSpPr>
        <xdr:cNvPr id="43" name="Arrow: Pentagon 42">
          <a:extLst>
            <a:ext uri="{FF2B5EF4-FFF2-40B4-BE49-F238E27FC236}">
              <a16:creationId xmlns:a16="http://schemas.microsoft.com/office/drawing/2014/main" id="{9384EA7E-EE54-2F97-FB0E-93B59673594D}"/>
            </a:ext>
          </a:extLst>
        </xdr:cNvPr>
        <xdr:cNvSpPr/>
      </xdr:nvSpPr>
      <xdr:spPr>
        <a:xfrm flipH="1">
          <a:off x="9109074" y="10658475"/>
          <a:ext cx="4206875" cy="285750"/>
        </a:xfrm>
        <a:prstGeom prst="homePlat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baseline="0"/>
            <a:t>PERFORMANCE INSIGHTS</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24.985622916669" createdVersion="8" refreshedVersion="8" minRefreshableVersion="3" recordCount="43" xr:uid="{E3266C84-1F70-41A7-A9CD-FBC127FE48AF}">
  <cacheSource type="worksheet">
    <worksheetSource name="Table1_1"/>
  </cacheSource>
  <cacheFields count="12">
    <cacheField name="OrderDate" numFmtId="14">
      <sharedItems containsSemiMixedTypes="0" containsNonDate="0" containsDate="1" containsString="0" minDate="2021-01-06T00:00:00" maxDate="2022-12-22T00:00:00" count="43">
        <d v="2021-01-06T00:00:00"/>
        <d v="2021-01-23T00:00:00"/>
        <d v="2021-02-09T00:00:00"/>
        <d v="2021-02-26T00:00:00"/>
        <d v="2021-03-15T00:00:00"/>
        <d v="2021-04-01T00:00:00"/>
        <d v="2021-04-18T00:00:00"/>
        <d v="2021-05-05T00:00:00"/>
        <d v="2021-05-22T00:00:00"/>
        <d v="2021-06-08T00:00:00"/>
        <d v="2021-06-22T00:00:00"/>
        <d v="2021-07-12T00:00:00"/>
        <d v="2021-07-29T00:00:00"/>
        <d v="2021-08-15T00:00:00"/>
        <d v="2021-09-01T00:00:00"/>
        <d v="2021-09-18T00:00:00"/>
        <d v="2021-10-05T00:00:00"/>
        <d v="2021-10-22T00:00:00"/>
        <d v="2021-11-08T00:00:00"/>
        <d v="2021-11-25T00:00:00"/>
        <d v="2021-12-12T00:00:00"/>
        <d v="2021-12-29T00:00:00"/>
        <d v="2022-01-15T00:00:00"/>
        <d v="2022-02-01T00:00:00"/>
        <d v="2022-02-18T00:00:00"/>
        <d v="2022-03-07T00:00:00"/>
        <d v="2022-03-24T00:00:00"/>
        <d v="2022-04-10T00:00:00"/>
        <d v="2022-04-27T00:00:00"/>
        <d v="2022-05-14T00:00:00"/>
        <d v="2022-05-31T00:00:00"/>
        <d v="2022-06-17T00:00:00"/>
        <d v="2022-07-04T00:00:00"/>
        <d v="2022-07-21T00:00:00"/>
        <d v="2022-08-07T00:00:00"/>
        <d v="2022-08-25T00:00:00"/>
        <d v="2022-09-10T00:00:00"/>
        <d v="2022-09-27T00:00:00"/>
        <d v="2022-10-14T00:00:00"/>
        <d v="2022-10-31T00:00:00"/>
        <d v="2022-11-17T00:00:00"/>
        <d v="2022-04-12T00:00:00"/>
        <d v="2022-12-21T00:00:00"/>
      </sharedItems>
      <fieldGroup par="11"/>
    </cacheField>
    <cacheField name="Month_Number" numFmtId="0">
      <sharedItems containsSemiMixedTypes="0" containsString="0" containsNumber="1" containsInteger="1" minValue="1" maxValue="12"/>
    </cacheField>
    <cacheField name="Month_Name" numFmtId="0">
      <sharedItems count="12">
        <s v="Jan"/>
        <s v="Feb"/>
        <s v="Mar"/>
        <s v="Apr"/>
        <s v="May"/>
        <s v="Jun"/>
        <s v="Jul"/>
        <s v="Aug"/>
        <s v="Sep"/>
        <s v="Oct"/>
        <s v="Nov"/>
        <s v="Dec"/>
      </sharedItems>
    </cacheField>
    <cacheField name="Region" numFmtId="0">
      <sharedItems count="3">
        <s v="East"/>
        <s v="Central"/>
        <s v="West"/>
      </sharedItems>
    </cacheField>
    <cacheField name="Rep" numFmtId="0">
      <sharedItems count="11">
        <s v="Jones"/>
        <s v="Kivell"/>
        <s v="Jardine"/>
        <s v="Gill"/>
        <s v="Sorvino"/>
        <s v="Andrews"/>
        <s v="Thompson"/>
        <s v="Morgan"/>
        <s v="Howard"/>
        <s v="Parent"/>
        <s v="Smith"/>
      </sharedItems>
    </cacheField>
    <cacheField name="Item" numFmtId="0">
      <sharedItems count="5">
        <s v="Pencil"/>
        <s v="Binder"/>
        <s v="Pen"/>
        <s v="Desk"/>
        <s v="Pen Set"/>
      </sharedItems>
    </cacheField>
    <cacheField name="Units" numFmtId="0">
      <sharedItems containsSemiMixedTypes="0" containsString="0" containsNumber="1" containsInteger="1" minValue="2" maxValue="96"/>
    </cacheField>
    <cacheField name="Unit Cost" numFmtId="0">
      <sharedItems containsSemiMixedTypes="0" containsString="0" containsNumber="1" minValue="1.29" maxValue="275"/>
    </cacheField>
    <cacheField name="Total" numFmtId="0">
      <sharedItems containsSemiMixedTypes="0" containsString="0" containsNumber="1" minValue="9.0299999999999994" maxValue="1879.06" count="41">
        <n v="189.05"/>
        <n v="999.5"/>
        <n v="179.64"/>
        <n v="539.73"/>
        <n v="167.44"/>
        <n v="299.39999999999998"/>
        <n v="149.25"/>
        <n v="449.1"/>
        <n v="63.68"/>
        <n v="539.4"/>
        <n v="57.71"/>
        <n v="1619.19"/>
        <n v="174.65"/>
        <n v="250"/>
        <n v="255.84"/>
        <n v="251.72"/>
        <n v="575.36"/>
        <n v="299.85000000000002"/>
        <n v="479.04"/>
        <n v="86.43"/>
        <n v="1183.26"/>
        <n v="413.54"/>
        <n v="1305"/>
        <n v="19.96"/>
        <n v="139.93"/>
        <n v="249.5"/>
        <n v="131.34"/>
        <n v="68.37"/>
        <n v="719.2"/>
        <n v="625"/>
        <n v="309.38"/>
        <n v="686.95"/>
        <n v="1005.9"/>
        <n v="825"/>
        <n v="9.0299999999999994"/>
        <n v="151.24"/>
        <n v="1139.43"/>
        <n v="18.059999999999999"/>
        <n v="54.89"/>
        <n v="1879.06"/>
        <n v="139.72"/>
      </sharedItems>
    </cacheField>
    <cacheField name="Months (OrderDate)" numFmtId="0" databaseField="0">
      <fieldGroup base="0">
        <rangePr groupBy="months" startDate="2021-01-06T00:00:00" endDate="2022-12-22T00:00:00"/>
        <groupItems count="14">
          <s v="&lt;1/6/2021"/>
          <s v="Jan"/>
          <s v="Feb"/>
          <s v="Mar"/>
          <s v="Apr"/>
          <s v="May"/>
          <s v="Jun"/>
          <s v="Jul"/>
          <s v="Aug"/>
          <s v="Sep"/>
          <s v="Oct"/>
          <s v="Nov"/>
          <s v="Dec"/>
          <s v="&gt;12/22/2022"/>
        </groupItems>
      </fieldGroup>
    </cacheField>
    <cacheField name="Quarters (OrderDate)" numFmtId="0" databaseField="0">
      <fieldGroup base="0">
        <rangePr groupBy="quarters" startDate="2021-01-06T00:00:00" endDate="2022-12-22T00:00:00"/>
        <groupItems count="6">
          <s v="&lt;1/6/2021"/>
          <s v="Qtr1"/>
          <s v="Qtr2"/>
          <s v="Qtr3"/>
          <s v="Qtr4"/>
          <s v="&gt;12/22/2022"/>
        </groupItems>
      </fieldGroup>
    </cacheField>
    <cacheField name="Years (OrderDate)" numFmtId="0" databaseField="0">
      <fieldGroup base="0">
        <rangePr groupBy="years" startDate="2021-01-06T00:00:00" endDate="2022-12-22T00:00:00"/>
        <groupItems count="4">
          <s v="&lt;1/6/2021"/>
          <s v="2021"/>
          <s v="2022"/>
          <s v="&gt;12/22/2022"/>
        </groupItems>
      </fieldGroup>
    </cacheField>
  </cacheFields>
  <extLst>
    <ext xmlns:x14="http://schemas.microsoft.com/office/spreadsheetml/2009/9/main" uri="{725AE2AE-9491-48be-B2B4-4EB974FC3084}">
      <x14:pivotCacheDefinition pivotCacheId="646365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n v="1"/>
    <x v="0"/>
    <x v="0"/>
    <x v="0"/>
    <x v="0"/>
    <n v="95"/>
    <n v="1.99"/>
    <x v="0"/>
  </r>
  <r>
    <x v="1"/>
    <n v="1"/>
    <x v="0"/>
    <x v="1"/>
    <x v="1"/>
    <x v="1"/>
    <n v="50"/>
    <n v="19.989999999999998"/>
    <x v="1"/>
  </r>
  <r>
    <x v="2"/>
    <n v="2"/>
    <x v="1"/>
    <x v="1"/>
    <x v="2"/>
    <x v="0"/>
    <n v="36"/>
    <n v="4.99"/>
    <x v="2"/>
  </r>
  <r>
    <x v="3"/>
    <n v="2"/>
    <x v="1"/>
    <x v="1"/>
    <x v="3"/>
    <x v="2"/>
    <n v="27"/>
    <n v="19.989999999999998"/>
    <x v="3"/>
  </r>
  <r>
    <x v="4"/>
    <n v="3"/>
    <x v="2"/>
    <x v="2"/>
    <x v="4"/>
    <x v="0"/>
    <n v="56"/>
    <n v="2.99"/>
    <x v="4"/>
  </r>
  <r>
    <x v="5"/>
    <n v="4"/>
    <x v="3"/>
    <x v="0"/>
    <x v="0"/>
    <x v="1"/>
    <n v="60"/>
    <n v="4.99"/>
    <x v="5"/>
  </r>
  <r>
    <x v="6"/>
    <n v="4"/>
    <x v="3"/>
    <x v="1"/>
    <x v="5"/>
    <x v="0"/>
    <n v="75"/>
    <n v="1.99"/>
    <x v="6"/>
  </r>
  <r>
    <x v="7"/>
    <n v="5"/>
    <x v="4"/>
    <x v="1"/>
    <x v="2"/>
    <x v="0"/>
    <n v="90"/>
    <n v="4.99"/>
    <x v="7"/>
  </r>
  <r>
    <x v="8"/>
    <n v="5"/>
    <x v="4"/>
    <x v="2"/>
    <x v="6"/>
    <x v="0"/>
    <n v="32"/>
    <n v="1.99"/>
    <x v="8"/>
  </r>
  <r>
    <x v="9"/>
    <n v="6"/>
    <x v="5"/>
    <x v="0"/>
    <x v="0"/>
    <x v="1"/>
    <n v="60"/>
    <n v="8.99"/>
    <x v="9"/>
  </r>
  <r>
    <x v="10"/>
    <n v="6"/>
    <x v="5"/>
    <x v="1"/>
    <x v="7"/>
    <x v="0"/>
    <n v="90"/>
    <n v="4.99"/>
    <x v="7"/>
  </r>
  <r>
    <x v="11"/>
    <n v="7"/>
    <x v="6"/>
    <x v="0"/>
    <x v="8"/>
    <x v="1"/>
    <n v="29"/>
    <n v="1.99"/>
    <x v="10"/>
  </r>
  <r>
    <x v="12"/>
    <n v="7"/>
    <x v="6"/>
    <x v="0"/>
    <x v="9"/>
    <x v="1"/>
    <n v="81"/>
    <n v="19.989999999999998"/>
    <x v="11"/>
  </r>
  <r>
    <x v="13"/>
    <n v="8"/>
    <x v="7"/>
    <x v="0"/>
    <x v="0"/>
    <x v="0"/>
    <n v="35"/>
    <n v="4.99"/>
    <x v="12"/>
  </r>
  <r>
    <x v="14"/>
    <n v="9"/>
    <x v="8"/>
    <x v="1"/>
    <x v="10"/>
    <x v="3"/>
    <n v="2"/>
    <n v="125"/>
    <x v="13"/>
  </r>
  <r>
    <x v="15"/>
    <n v="9"/>
    <x v="8"/>
    <x v="0"/>
    <x v="0"/>
    <x v="4"/>
    <n v="16"/>
    <n v="15.99"/>
    <x v="14"/>
  </r>
  <r>
    <x v="16"/>
    <n v="10"/>
    <x v="9"/>
    <x v="1"/>
    <x v="7"/>
    <x v="1"/>
    <n v="28"/>
    <n v="8.99"/>
    <x v="15"/>
  </r>
  <r>
    <x v="17"/>
    <n v="10"/>
    <x v="9"/>
    <x v="0"/>
    <x v="0"/>
    <x v="2"/>
    <n v="64"/>
    <n v="8.99"/>
    <x v="16"/>
  </r>
  <r>
    <x v="18"/>
    <n v="11"/>
    <x v="10"/>
    <x v="0"/>
    <x v="9"/>
    <x v="2"/>
    <n v="15"/>
    <n v="19.989999999999998"/>
    <x v="17"/>
  </r>
  <r>
    <x v="19"/>
    <n v="11"/>
    <x v="10"/>
    <x v="1"/>
    <x v="1"/>
    <x v="4"/>
    <n v="96"/>
    <n v="4.99"/>
    <x v="18"/>
  </r>
  <r>
    <x v="20"/>
    <n v="12"/>
    <x v="11"/>
    <x v="1"/>
    <x v="10"/>
    <x v="0"/>
    <n v="67"/>
    <n v="1.29"/>
    <x v="19"/>
  </r>
  <r>
    <x v="21"/>
    <n v="12"/>
    <x v="11"/>
    <x v="0"/>
    <x v="9"/>
    <x v="4"/>
    <n v="74"/>
    <n v="15.99"/>
    <x v="20"/>
  </r>
  <r>
    <x v="22"/>
    <n v="1"/>
    <x v="0"/>
    <x v="1"/>
    <x v="3"/>
    <x v="1"/>
    <n v="46"/>
    <n v="8.99"/>
    <x v="21"/>
  </r>
  <r>
    <x v="23"/>
    <n v="2"/>
    <x v="1"/>
    <x v="1"/>
    <x v="10"/>
    <x v="1"/>
    <n v="87"/>
    <n v="15"/>
    <x v="22"/>
  </r>
  <r>
    <x v="24"/>
    <n v="2"/>
    <x v="1"/>
    <x v="0"/>
    <x v="0"/>
    <x v="1"/>
    <n v="4"/>
    <n v="4.99"/>
    <x v="23"/>
  </r>
  <r>
    <x v="25"/>
    <n v="3"/>
    <x v="2"/>
    <x v="2"/>
    <x v="4"/>
    <x v="1"/>
    <n v="7"/>
    <n v="19.989999999999998"/>
    <x v="24"/>
  </r>
  <r>
    <x v="26"/>
    <n v="3"/>
    <x v="2"/>
    <x v="1"/>
    <x v="2"/>
    <x v="4"/>
    <n v="50"/>
    <n v="4.99"/>
    <x v="25"/>
  </r>
  <r>
    <x v="27"/>
    <n v="4"/>
    <x v="3"/>
    <x v="1"/>
    <x v="5"/>
    <x v="0"/>
    <n v="66"/>
    <n v="1.99"/>
    <x v="26"/>
  </r>
  <r>
    <x v="28"/>
    <n v="4"/>
    <x v="3"/>
    <x v="0"/>
    <x v="8"/>
    <x v="2"/>
    <n v="96"/>
    <n v="4.99"/>
    <x v="18"/>
  </r>
  <r>
    <x v="29"/>
    <n v="5"/>
    <x v="4"/>
    <x v="1"/>
    <x v="3"/>
    <x v="0"/>
    <n v="53"/>
    <n v="1.29"/>
    <x v="27"/>
  </r>
  <r>
    <x v="30"/>
    <n v="5"/>
    <x v="4"/>
    <x v="1"/>
    <x v="3"/>
    <x v="1"/>
    <n v="80"/>
    <n v="8.99"/>
    <x v="28"/>
  </r>
  <r>
    <x v="31"/>
    <n v="6"/>
    <x v="5"/>
    <x v="1"/>
    <x v="1"/>
    <x v="3"/>
    <n v="5"/>
    <n v="125"/>
    <x v="29"/>
  </r>
  <r>
    <x v="32"/>
    <n v="7"/>
    <x v="6"/>
    <x v="0"/>
    <x v="0"/>
    <x v="4"/>
    <n v="62"/>
    <n v="4.99"/>
    <x v="30"/>
  </r>
  <r>
    <x v="33"/>
    <n v="7"/>
    <x v="6"/>
    <x v="1"/>
    <x v="7"/>
    <x v="4"/>
    <n v="55"/>
    <n v="12.49"/>
    <x v="31"/>
  </r>
  <r>
    <x v="34"/>
    <n v="8"/>
    <x v="7"/>
    <x v="1"/>
    <x v="1"/>
    <x v="4"/>
    <n v="42"/>
    <n v="23.95"/>
    <x v="32"/>
  </r>
  <r>
    <x v="35"/>
    <n v="8"/>
    <x v="7"/>
    <x v="2"/>
    <x v="4"/>
    <x v="3"/>
    <n v="3"/>
    <n v="275"/>
    <x v="33"/>
  </r>
  <r>
    <x v="36"/>
    <n v="9"/>
    <x v="8"/>
    <x v="1"/>
    <x v="3"/>
    <x v="0"/>
    <n v="7"/>
    <n v="1.29"/>
    <x v="34"/>
  </r>
  <r>
    <x v="37"/>
    <n v="9"/>
    <x v="8"/>
    <x v="2"/>
    <x v="4"/>
    <x v="2"/>
    <n v="76"/>
    <n v="1.99"/>
    <x v="35"/>
  </r>
  <r>
    <x v="38"/>
    <n v="10"/>
    <x v="9"/>
    <x v="2"/>
    <x v="6"/>
    <x v="1"/>
    <n v="57"/>
    <n v="19.989999999999998"/>
    <x v="36"/>
  </r>
  <r>
    <x v="39"/>
    <n v="10"/>
    <x v="9"/>
    <x v="1"/>
    <x v="5"/>
    <x v="0"/>
    <n v="14"/>
    <n v="1.29"/>
    <x v="37"/>
  </r>
  <r>
    <x v="40"/>
    <n v="11"/>
    <x v="10"/>
    <x v="1"/>
    <x v="2"/>
    <x v="1"/>
    <n v="11"/>
    <n v="4.99"/>
    <x v="38"/>
  </r>
  <r>
    <x v="41"/>
    <n v="4"/>
    <x v="3"/>
    <x v="1"/>
    <x v="2"/>
    <x v="1"/>
    <n v="94"/>
    <n v="19.989999999999998"/>
    <x v="39"/>
  </r>
  <r>
    <x v="42"/>
    <n v="12"/>
    <x v="11"/>
    <x v="1"/>
    <x v="5"/>
    <x v="1"/>
    <n v="28"/>
    <n v="4.99"/>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6A916-D710-43CF-A388-B2DAE73DF422}" name="Reps - PVT -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ps">
  <location ref="A3:B15"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axis="axisRow" showAll="0" sortType="descending">
      <items count="12">
        <item x="5"/>
        <item x="3"/>
        <item x="8"/>
        <item x="2"/>
        <item x="0"/>
        <item x="1"/>
        <item x="7"/>
        <item x="9"/>
        <item x="10"/>
        <item x="4"/>
        <item x="6"/>
        <item t="default"/>
      </items>
      <autoSortScope>
        <pivotArea dataOnly="0" outline="0" fieldPosition="0">
          <references count="1">
            <reference field="4294967294" count="1" selected="0">
              <x v="0"/>
            </reference>
          </references>
        </pivotArea>
      </autoSortScope>
    </pivotField>
    <pivotField showAll="0">
      <items count="6">
        <item x="1"/>
        <item x="3"/>
        <item x="2"/>
        <item x="4"/>
        <item x="0"/>
        <item t="default"/>
      </items>
    </pivotField>
    <pivotField showAll="0"/>
    <pivotField showAll="0"/>
    <pivotField dataField="1" showAll="0">
      <items count="42">
        <item h="1" x="34"/>
        <item x="37"/>
        <item h="1" x="23"/>
        <item h="1" x="38"/>
        <item h="1" x="10"/>
        <item h="1" x="8"/>
        <item h="1" x="27"/>
        <item h="1" x="19"/>
        <item h="1" x="26"/>
        <item h="1" x="40"/>
        <item h="1" x="24"/>
        <item h="1" x="6"/>
        <item h="1" x="35"/>
        <item h="1" x="4"/>
        <item h="1" x="12"/>
        <item h="1" x="2"/>
        <item h="1" x="0"/>
        <item h="1" x="25"/>
        <item h="1" x="13"/>
        <item h="1" x="15"/>
        <item h="1" x="14"/>
        <item h="1" x="5"/>
        <item h="1" x="17"/>
        <item h="1" x="30"/>
        <item h="1" x="21"/>
        <item h="1" x="7"/>
        <item h="1" x="18"/>
        <item h="1" x="9"/>
        <item h="1" x="3"/>
        <item h="1" x="16"/>
        <item h="1" x="29"/>
        <item h="1" x="31"/>
        <item h="1" x="28"/>
        <item h="1" x="33"/>
        <item h="1" x="1"/>
        <item h="1" x="32"/>
        <item h="1" x="36"/>
        <item h="1" x="20"/>
        <item h="1" x="22"/>
        <item h="1" x="11"/>
        <item h="1" x="3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v="5"/>
    </i>
    <i>
      <x v="7"/>
    </i>
    <i>
      <x v="3"/>
    </i>
    <i>
      <x v="4"/>
    </i>
    <i>
      <x v="1"/>
    </i>
    <i>
      <x v="8"/>
    </i>
    <i>
      <x v="6"/>
    </i>
    <i>
      <x v="9"/>
    </i>
    <i>
      <x v="10"/>
    </i>
    <i>
      <x v="2"/>
    </i>
    <i>
      <x/>
    </i>
    <i t="grand">
      <x/>
    </i>
  </rowItems>
  <colItems count="1">
    <i/>
  </colItems>
  <dataFields count="1">
    <dataField name="Total Sales" fld="8" baseField="4" baseItem="5" numFmtId="44"/>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11F74-D727-45A3-8249-577EFB0E529F}" name="Reps - PVT -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ps">
  <location ref="G3:H15" firstHeaderRow="1" firstDataRow="1" firstDataCol="1"/>
  <pivotFields count="12">
    <pivotField dataField="1"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axis="axisRow" showAll="0" sortType="descending">
      <items count="12">
        <item x="5"/>
        <item x="3"/>
        <item x="8"/>
        <item x="2"/>
        <item x="0"/>
        <item x="1"/>
        <item x="7"/>
        <item x="9"/>
        <item x="10"/>
        <item x="4"/>
        <item x="6"/>
        <item t="default"/>
      </items>
      <autoSortScope>
        <pivotArea dataOnly="0" outline="0" fieldPosition="0">
          <references count="1">
            <reference field="4294967294" count="1" selected="0">
              <x v="0"/>
            </reference>
          </references>
        </pivotArea>
      </autoSortScope>
    </pivotField>
    <pivotField showAll="0">
      <items count="6">
        <item x="1"/>
        <item x="3"/>
        <item x="2"/>
        <item x="4"/>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v="4"/>
    </i>
    <i>
      <x v="1"/>
    </i>
    <i>
      <x v="3"/>
    </i>
    <i>
      <x/>
    </i>
    <i>
      <x v="9"/>
    </i>
    <i>
      <x v="5"/>
    </i>
    <i>
      <x v="7"/>
    </i>
    <i>
      <x v="6"/>
    </i>
    <i>
      <x v="8"/>
    </i>
    <i>
      <x v="10"/>
    </i>
    <i>
      <x v="2"/>
    </i>
    <i t="grand">
      <x/>
    </i>
  </rowItems>
  <colItems count="1">
    <i/>
  </colItems>
  <dataFields count="1">
    <dataField name="Total Orders"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587C56-5AC5-4C6F-B5F0-81C08FCE832E}" name="Reps - PVT - Total 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ps">
  <location ref="D3:E15"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axis="axisRow" showAll="0" sortType="descending">
      <items count="12">
        <item x="5"/>
        <item x="3"/>
        <item x="8"/>
        <item x="2"/>
        <item x="0"/>
        <item x="1"/>
        <item x="7"/>
        <item x="9"/>
        <item x="10"/>
        <item x="4"/>
        <item x="6"/>
        <item t="default"/>
      </items>
      <autoSortScope>
        <pivotArea dataOnly="0" outline="0" fieldPosition="0">
          <references count="1">
            <reference field="4294967294" count="1" selected="0">
              <x v="0"/>
            </reference>
          </references>
        </pivotArea>
      </autoSortScope>
    </pivotField>
    <pivotField showAll="0">
      <items count="6">
        <item x="1"/>
        <item x="3"/>
        <item x="2"/>
        <item x="4"/>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2">
    <i>
      <x v="4"/>
    </i>
    <i>
      <x v="3"/>
    </i>
    <i>
      <x v="1"/>
    </i>
    <i>
      <x v="5"/>
    </i>
    <i>
      <x/>
    </i>
    <i>
      <x v="6"/>
    </i>
    <i>
      <x v="7"/>
    </i>
    <i>
      <x v="8"/>
    </i>
    <i>
      <x v="9"/>
    </i>
    <i>
      <x v="2"/>
    </i>
    <i>
      <x v="10"/>
    </i>
    <i t="grand">
      <x/>
    </i>
  </rowItems>
  <colItems count="1">
    <i/>
  </colItems>
  <dataFields count="1">
    <dataField name="Total Units"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6B3368-1929-4D82-82F3-CA283756D497}" name="Regions - PVT -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A3:B7"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Total Sales" fld="8" baseField="0" baseItem="0" numFmtId="44"/>
  </dataFields>
  <formats count="1">
    <format dxfId="2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A4E529-2584-4A6F-8430-6B7B292E0623}" name="Regions - PVT -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7" firstHeaderRow="1" firstDataRow="1" firstDataCol="1"/>
  <pivotFields count="12">
    <pivotField dataField="1"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Total Orders"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6C9A8D-E08A-44EB-8D01-58C04B0C4F05}" name="Regions - PVT - Total 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7"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Total Units" fld="6"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62877-8E14-42CF-88EF-1AC47EE4B913}" name="Items - PVT -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s">
  <location ref="G3:H9" firstHeaderRow="1" firstDataRow="1" firstDataCol="1"/>
  <pivotFields count="12">
    <pivotField dataField="1"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4"/>
    </i>
    <i>
      <x v="3"/>
    </i>
    <i>
      <x v="2"/>
    </i>
    <i>
      <x v="1"/>
    </i>
    <i t="grand">
      <x/>
    </i>
  </rowItems>
  <colItems count="1">
    <i/>
  </colItems>
  <dataFields count="1">
    <dataField name="Total Orders" fld="0" subtotal="count" baseField="0" baseItem="0"/>
  </dataFields>
  <formats count="1">
    <format dxfId="17">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C59E41-E5DA-4E99-85F8-113303567D48}" name="Items - PVT - Total 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s">
  <location ref="D3:E9"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4"/>
    </i>
    <i>
      <x v="3"/>
    </i>
    <i>
      <x v="2"/>
    </i>
    <i>
      <x v="1"/>
    </i>
    <i t="grand">
      <x/>
    </i>
  </rowItems>
  <colItems count="1">
    <i/>
  </colItems>
  <dataFields count="1">
    <dataField name="Total Orders" fld="6" baseField="0" baseItem="0"/>
  </dataFields>
  <formats count="1">
    <format dxfId="18">
      <pivotArea collapsedLevelsAreSubtotals="1"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4E4334-698F-4406-91C7-2640C0CCC9FB}" name="Items - PVT -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Items">
  <location ref="A3:B9" firstHeaderRow="1" firstDataRow="1" firstDataCol="1"/>
  <pivotFields count="12">
    <pivotField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3"/>
    </i>
    <i>
      <x v="4"/>
    </i>
    <i>
      <x v="2"/>
    </i>
    <i>
      <x v="1"/>
    </i>
    <i t="grand">
      <x/>
    </i>
  </rowItems>
  <colItems count="1">
    <i/>
  </colItems>
  <dataFields count="1">
    <dataField name="Total Sales" fld="8" baseField="0" baseItem="0" numFmtId="4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54465C-9D75-4ECD-ACA7-9AFD419A2D5B}" name="Perf - PVT - Total 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eriod">
  <location ref="D3:E14" firstHeaderRow="1" firstDataRow="1" firstDataCol="1"/>
  <pivotFields count="12">
    <pivotField axis="axisRow"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x="1"/>
        <item x="2"/>
        <item sd="0" x="3"/>
      </items>
    </pivotField>
  </pivotFields>
  <rowFields count="4">
    <field x="11"/>
    <field x="10"/>
    <field x="9"/>
    <field x="0"/>
  </rowFields>
  <rowItems count="11">
    <i>
      <x v="1"/>
    </i>
    <i r="1">
      <x v="1"/>
    </i>
    <i r="1">
      <x v="2"/>
    </i>
    <i r="1">
      <x v="3"/>
    </i>
    <i r="1">
      <x v="4"/>
    </i>
    <i>
      <x v="2"/>
    </i>
    <i r="1">
      <x v="1"/>
    </i>
    <i r="1">
      <x v="2"/>
    </i>
    <i r="1">
      <x v="3"/>
    </i>
    <i r="1">
      <x v="4"/>
    </i>
    <i t="grand">
      <x/>
    </i>
  </rowItems>
  <colItems count="1">
    <i/>
  </colItems>
  <dataFields count="1">
    <dataField name="Total Unit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F5299D-34B3-4C27-B121-A294CF14D625}" name="Perf - PVT - 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eriod">
  <location ref="A3:B14" firstHeaderRow="1" firstDataRow="1" firstDataCol="1"/>
  <pivotFields count="12">
    <pivotField axis="axisRow"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11"/>
    <field x="10"/>
    <field x="9"/>
    <field x="0"/>
  </rowFields>
  <rowItems count="11">
    <i>
      <x v="1"/>
    </i>
    <i r="1">
      <x v="1"/>
    </i>
    <i r="1">
      <x v="2"/>
    </i>
    <i r="1">
      <x v="3"/>
    </i>
    <i r="1">
      <x v="4"/>
    </i>
    <i>
      <x v="2"/>
    </i>
    <i r="1">
      <x v="1"/>
    </i>
    <i r="1">
      <x v="2"/>
    </i>
    <i r="1">
      <x v="3"/>
    </i>
    <i r="1">
      <x v="4"/>
    </i>
    <i t="grand">
      <x/>
    </i>
  </rowItems>
  <colItems count="1">
    <i/>
  </colItems>
  <dataFields count="1">
    <dataField name="Total Sales" fld="8" baseField="0" baseItem="0"/>
  </dataFields>
  <formats count="11">
    <format dxfId="16">
      <pivotArea collapsedLevelsAreSubtotals="1" fieldPosition="0">
        <references count="1">
          <reference field="11" count="1">
            <x v="1"/>
          </reference>
        </references>
      </pivotArea>
    </format>
    <format dxfId="15">
      <pivotArea collapsedLevelsAreSubtotals="1" fieldPosition="0">
        <references count="2">
          <reference field="10" count="1">
            <x v="1"/>
          </reference>
          <reference field="11" count="1" selected="0">
            <x v="1"/>
          </reference>
        </references>
      </pivotArea>
    </format>
    <format dxfId="14">
      <pivotArea collapsedLevelsAreSubtotals="1" fieldPosition="0">
        <references count="2">
          <reference field="10" count="1">
            <x v="2"/>
          </reference>
          <reference field="11" count="1" selected="0">
            <x v="1"/>
          </reference>
        </references>
      </pivotArea>
    </format>
    <format dxfId="13">
      <pivotArea collapsedLevelsAreSubtotals="1" fieldPosition="0">
        <references count="2">
          <reference field="10" count="1">
            <x v="3"/>
          </reference>
          <reference field="11" count="1" selected="0">
            <x v="1"/>
          </reference>
        </references>
      </pivotArea>
    </format>
    <format dxfId="12">
      <pivotArea collapsedLevelsAreSubtotals="1" fieldPosition="0">
        <references count="2">
          <reference field="10" count="1">
            <x v="4"/>
          </reference>
          <reference field="11" count="1" selected="0">
            <x v="1"/>
          </reference>
        </references>
      </pivotArea>
    </format>
    <format dxfId="11">
      <pivotArea collapsedLevelsAreSubtotals="1" fieldPosition="0">
        <references count="1">
          <reference field="11" count="1">
            <x v="2"/>
          </reference>
        </references>
      </pivotArea>
    </format>
    <format dxfId="10">
      <pivotArea collapsedLevelsAreSubtotals="1" fieldPosition="0">
        <references count="2">
          <reference field="10" count="1">
            <x v="1"/>
          </reference>
          <reference field="11" count="1" selected="0">
            <x v="2"/>
          </reference>
        </references>
      </pivotArea>
    </format>
    <format dxfId="9">
      <pivotArea collapsedLevelsAreSubtotals="1" fieldPosition="0">
        <references count="2">
          <reference field="10" count="1">
            <x v="2"/>
          </reference>
          <reference field="11" count="1" selected="0">
            <x v="2"/>
          </reference>
        </references>
      </pivotArea>
    </format>
    <format dxfId="8">
      <pivotArea collapsedLevelsAreSubtotals="1" fieldPosition="0">
        <references count="2">
          <reference field="10" count="1">
            <x v="3"/>
          </reference>
          <reference field="11" count="1" selected="0">
            <x v="2"/>
          </reference>
        </references>
      </pivotArea>
    </format>
    <format dxfId="7">
      <pivotArea collapsedLevelsAreSubtotals="1" fieldPosition="0">
        <references count="2">
          <reference field="10" count="1">
            <x v="4"/>
          </reference>
          <reference field="11" count="1" selected="0">
            <x v="2"/>
          </reference>
        </references>
      </pivotArea>
    </format>
    <format dxfId="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A48DB6-1F09-49EF-9C20-5E38103CFE81}" name="Perf - PVT - 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eriod">
  <location ref="G3:H14" firstHeaderRow="1" firstDataRow="1" firstDataCol="1"/>
  <pivotFields count="12">
    <pivotField axis="axisRow" dataField="1" numFmtId="14" showAll="0">
      <items count="44">
        <item x="0"/>
        <item x="1"/>
        <item x="2"/>
        <item x="3"/>
        <item x="4"/>
        <item x="5"/>
        <item x="6"/>
        <item x="7"/>
        <item x="8"/>
        <item x="9"/>
        <item x="10"/>
        <item x="11"/>
        <item x="12"/>
        <item x="13"/>
        <item x="14"/>
        <item x="15"/>
        <item x="16"/>
        <item x="17"/>
        <item x="18"/>
        <item x="19"/>
        <item x="20"/>
        <item x="21"/>
        <item x="22"/>
        <item x="23"/>
        <item x="24"/>
        <item x="25"/>
        <item x="26"/>
        <item x="27"/>
        <item x="41"/>
        <item x="28"/>
        <item x="29"/>
        <item x="30"/>
        <item x="31"/>
        <item x="32"/>
        <item x="33"/>
        <item x="34"/>
        <item x="35"/>
        <item x="36"/>
        <item x="37"/>
        <item x="38"/>
        <item x="39"/>
        <item x="40"/>
        <item x="42"/>
        <item t="default"/>
      </items>
    </pivotField>
    <pivotField showAll="0"/>
    <pivotField showAll="0"/>
    <pivotField showAll="0">
      <items count="4">
        <item x="1"/>
        <item x="0"/>
        <item x="2"/>
        <item t="default"/>
      </items>
    </pivotField>
    <pivotField showAll="0">
      <items count="12">
        <item x="5"/>
        <item x="3"/>
        <item x="8"/>
        <item x="2"/>
        <item x="0"/>
        <item x="1"/>
        <item x="7"/>
        <item x="9"/>
        <item x="10"/>
        <item x="4"/>
        <item x="6"/>
        <item t="default"/>
      </items>
    </pivotField>
    <pivotField showAll="0">
      <items count="6">
        <item x="1"/>
        <item x="3"/>
        <item x="2"/>
        <item x="4"/>
        <item x="0"/>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x="1"/>
        <item x="2"/>
        <item sd="0" x="3"/>
      </items>
    </pivotField>
  </pivotFields>
  <rowFields count="4">
    <field x="11"/>
    <field x="10"/>
    <field x="9"/>
    <field x="0"/>
  </rowFields>
  <rowItems count="11">
    <i>
      <x v="1"/>
    </i>
    <i r="1">
      <x v="1"/>
    </i>
    <i r="1">
      <x v="2"/>
    </i>
    <i r="1">
      <x v="3"/>
    </i>
    <i r="1">
      <x v="4"/>
    </i>
    <i>
      <x v="2"/>
    </i>
    <i r="1">
      <x v="1"/>
    </i>
    <i r="1">
      <x v="2"/>
    </i>
    <i r="1">
      <x v="3"/>
    </i>
    <i r="1">
      <x v="4"/>
    </i>
    <i t="grand">
      <x/>
    </i>
  </rowItems>
  <colItems count="1">
    <i/>
  </colItems>
  <dataFields count="1">
    <dataField name="Total Orders" fld="0" subtotal="count" baseField="0" baseItem="0"/>
  </dataFields>
  <chartFormats count="3">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719587-1606-49AE-82F8-6D5CBC2299AF}" autoFormatId="16" applyNumberFormats="0" applyBorderFormats="0" applyFontFormats="0" applyPatternFormats="0" applyAlignmentFormats="0" applyWidthHeightFormats="0">
  <queryTableRefresh nextId="10">
    <queryTableFields count="9">
      <queryTableField id="1" name="OrderDate" tableColumnId="1"/>
      <queryTableField id="2" name="Month_Number" tableColumnId="2"/>
      <queryTableField id="3" name="Month_Name" tableColumnId="3"/>
      <queryTableField id="4" name="Region" tableColumnId="4"/>
      <queryTableField id="5" name="Rep" tableColumnId="5"/>
      <queryTableField id="6" name="Item" tableColumnId="6"/>
      <queryTableField id="7" name="Units" tableColumnId="7"/>
      <queryTableField id="8" name="Unit Cost" tableColumnId="8"/>
      <queryTableField id="9" name="Tota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450ED576-A12E-49EA-8A9E-2463DB9E46A2}" sourceName="Years (OrderDate)">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Date" xr10:uid="{640B208C-7830-4ADC-853E-99D387FB657D}" sourceName="Quarters (OrderDate)">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9EDB6933-EC7F-48B3-B226-6DE6D687C0C5}" sourceName="Months (OrderDate)">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112CE98-15B2-4F20-8D16-352FC133DAF7}" sourceName="Item">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5">
        <i x="1" s="1"/>
        <i x="3" s="1"/>
        <i x="2"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6B0395-1E61-459D-B1C6-03B8D5D7211A}" sourceName="Region">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 xr10:uid="{028610FD-681F-4D04-B880-D48783DC75F6}" sourceName="Rep">
  <pivotTables>
    <pivotTable tabId="3" name="Reps - PVT - Total Sales"/>
    <pivotTable tabId="6" name="Items - PVT - Total Orders"/>
    <pivotTable tabId="6" name="Items - PVT - Total Sales"/>
    <pivotTable tabId="6" name="Items - PVT - Total Units"/>
    <pivotTable tabId="7" name="Perf - PVT - Total Orders"/>
    <pivotTable tabId="7" name="Perf - PVT - Total Sales"/>
    <pivotTable tabId="7" name="Perf - PVT - Total Units"/>
    <pivotTable tabId="5" name="Regions - PVT - Total Orders"/>
    <pivotTable tabId="5" name="Regions - PVT - Total Sales"/>
    <pivotTable tabId="5" name="Regions - PVT - Total UNits"/>
    <pivotTable tabId="3" name="Reps - PVT - Total Orders"/>
    <pivotTable tabId="3" name="Reps - PVT - Total Units"/>
  </pivotTables>
  <data>
    <tabular pivotCacheId="646365744">
      <items count="11">
        <i x="5" s="1"/>
        <i x="3" s="1"/>
        <i x="8" s="1"/>
        <i x="2" s="1"/>
        <i x="0" s="1"/>
        <i x="1" s="1"/>
        <i x="7" s="1"/>
        <i x="9" s="1"/>
        <i x="10"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52DB7D41-A366-4B15-A8DE-74A9145F276F}" cache="Slicer_Years__OrderDate" caption="Years " columnCount="2" style="SlicerStyleLight2" rowHeight="329184"/>
  <slicer name="Quarters (OrderDate)" xr10:uid="{EB241C84-965B-490A-86D5-0D709A68215E}" cache="Slicer_Quarters__OrderDate" caption="Quarters " columnCount="2" style="SlicerStyleLight2" rowHeight="329184"/>
  <slicer name="Months (OrderDate)" xr10:uid="{C882D9EA-85B0-41EE-B930-414EC2F4C9EF}" cache="Slicer_Months__OrderDate" caption="Months " columnCount="2" style="SlicerStyleLight2" rowHeight="329184"/>
  <slicer name="Item" xr10:uid="{17B44641-2E59-4764-BBF6-72A63552E7F3}" cache="Slicer_Item" caption="Item" style="SlicerStyleLight2" rowHeight="241300"/>
  <slicer name="Region" xr10:uid="{3B6015A5-47B0-4821-9104-0B1659C5D2DD}" cache="Slicer_Region" caption="Region" style="SlicerStyleLight2" rowHeight="241300"/>
  <slicer name="Rep" xr10:uid="{6B3F6123-D43F-4C05-941E-ABF4A8E44AED}" cache="Slicer_Rep" caption="Rep" startItem="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894EF2-E7D1-4569-A33B-099AB19838BA}" name="Table1_1" displayName="Table1_1" ref="A1:I44" tableType="queryTable" totalsRowShown="0">
  <autoFilter ref="A1:I44" xr:uid="{D6894EF2-E7D1-4569-A33B-099AB19838BA}"/>
  <tableColumns count="9">
    <tableColumn id="1" xr3:uid="{D9D40153-DDB2-4006-86B0-E3296917C59C}" uniqueName="1" name="OrderDate" queryTableFieldId="1" dataDxfId="5"/>
    <tableColumn id="2" xr3:uid="{E002977F-3817-4746-AA21-ED549A1A3846}" uniqueName="2" name="Month_Number" queryTableFieldId="2"/>
    <tableColumn id="3" xr3:uid="{FD0F6E2D-BF47-445C-B276-DBE5C828CE69}" uniqueName="3" name="Month_Name" queryTableFieldId="3" dataDxfId="4"/>
    <tableColumn id="4" xr3:uid="{F1FDB4C2-4943-4934-B4A7-109E3228D0B7}" uniqueName="4" name="Region" queryTableFieldId="4" dataDxfId="3"/>
    <tableColumn id="5" xr3:uid="{83B8B9E3-791F-4BC9-B180-ADB95AD2B6D6}" uniqueName="5" name="Rep" queryTableFieldId="5" dataDxfId="2"/>
    <tableColumn id="6" xr3:uid="{A7957558-F11B-4104-B744-497844BFBF19}" uniqueName="6" name="Item" queryTableFieldId="6" dataDxfId="1"/>
    <tableColumn id="7" xr3:uid="{C0D15CA5-804E-464C-BF32-4FCF7A5D9CE5}" uniqueName="7" name="Units" queryTableFieldId="7"/>
    <tableColumn id="8" xr3:uid="{BB7BD9A7-0CA2-44CE-845F-3AB44FAA96D9}" uniqueName="8" name="Unit Cost" queryTableFieldId="8"/>
    <tableColumn id="9" xr3:uid="{3CA13140-2460-4FDC-BC6A-842682386DA1}" uniqueName="9" name="Total" queryTableFieldId="9"/>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3AF8D5-F888-463B-A544-66BDF2B9AEEA}" name="Table1" displayName="Table1" ref="A1:F44" totalsRowShown="0">
  <autoFilter ref="A1:F44" xr:uid="{DB3AF8D5-F888-463B-A544-66BDF2B9AEEA}"/>
  <tableColumns count="6">
    <tableColumn id="1" xr3:uid="{CE416453-5EA0-4194-A7BD-AD745BDF59A3}" name="OrderDate" dataDxfId="0"/>
    <tableColumn id="2" xr3:uid="{CA3035FA-BCF7-4B33-924A-1283A613C2F3}" name="Region"/>
    <tableColumn id="3" xr3:uid="{702E94BA-474E-4079-8827-2960128C2FC0}" name="Rep"/>
    <tableColumn id="4" xr3:uid="{E1598BDE-BCD4-4CA1-896B-BC5E74E6A027}" name="Item"/>
    <tableColumn id="5" xr3:uid="{1FC2C0E4-1AED-4593-ACBA-83F7EA55F446}" name="Units"/>
    <tableColumn id="6" xr3:uid="{77294DBF-545E-4128-835A-1D70CECCDA97}" name="Unit Cost"/>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A68E-6F7A-4AF9-9C3D-9365ED5D09BD}">
  <dimension ref="A2:H15"/>
  <sheetViews>
    <sheetView zoomScale="60" zoomScaleNormal="60" workbookViewId="0">
      <selection activeCell="T26" sqref="T26"/>
    </sheetView>
  </sheetViews>
  <sheetFormatPr defaultRowHeight="14.5" x14ac:dyDescent="0.35"/>
  <cols>
    <col min="1" max="1" width="10.7265625" bestFit="1" customWidth="1"/>
    <col min="2" max="2" width="11.6328125" bestFit="1" customWidth="1"/>
    <col min="3" max="3" width="19.453125" customWidth="1"/>
    <col min="4" max="4" width="10.7265625" bestFit="1" customWidth="1"/>
    <col min="5" max="5" width="9.90625" bestFit="1" customWidth="1"/>
    <col min="6" max="6" width="19.1796875" customWidth="1"/>
    <col min="7" max="7" width="10.7265625" bestFit="1" customWidth="1"/>
    <col min="8" max="8" width="11.26953125" bestFit="1" customWidth="1"/>
  </cols>
  <sheetData>
    <row r="2" spans="1:8" x14ac:dyDescent="0.35">
      <c r="A2" s="8" t="s">
        <v>64</v>
      </c>
      <c r="B2" s="8"/>
      <c r="D2" s="8" t="s">
        <v>65</v>
      </c>
      <c r="E2" s="8"/>
      <c r="G2" s="8" t="s">
        <v>66</v>
      </c>
      <c r="H2" s="8"/>
    </row>
    <row r="3" spans="1:8" x14ac:dyDescent="0.35">
      <c r="A3" s="2" t="s">
        <v>67</v>
      </c>
      <c r="B3" t="s">
        <v>68</v>
      </c>
      <c r="D3" s="2" t="s">
        <v>67</v>
      </c>
      <c r="E3" t="s">
        <v>69</v>
      </c>
      <c r="G3" s="2" t="s">
        <v>67</v>
      </c>
      <c r="H3" t="s">
        <v>70</v>
      </c>
    </row>
    <row r="4" spans="1:8" x14ac:dyDescent="0.35">
      <c r="A4" s="3" t="s">
        <v>10</v>
      </c>
      <c r="B4" s="5">
        <v>3109.44</v>
      </c>
      <c r="D4" s="3" t="s">
        <v>7</v>
      </c>
      <c r="E4">
        <v>396</v>
      </c>
      <c r="G4" s="3" t="s">
        <v>7</v>
      </c>
      <c r="H4">
        <v>8</v>
      </c>
    </row>
    <row r="5" spans="1:8" x14ac:dyDescent="0.35">
      <c r="A5" s="3" t="s">
        <v>23</v>
      </c>
      <c r="B5" s="5">
        <v>3102.3</v>
      </c>
      <c r="D5" s="3" t="s">
        <v>12</v>
      </c>
      <c r="E5">
        <v>281</v>
      </c>
      <c r="G5" s="3" t="s">
        <v>13</v>
      </c>
      <c r="H5">
        <v>5</v>
      </c>
    </row>
    <row r="6" spans="1:8" x14ac:dyDescent="0.35">
      <c r="A6" s="3" t="s">
        <v>12</v>
      </c>
      <c r="B6" s="5">
        <v>2812.19</v>
      </c>
      <c r="D6" s="3" t="s">
        <v>13</v>
      </c>
      <c r="E6">
        <v>213</v>
      </c>
      <c r="G6" s="3" t="s">
        <v>12</v>
      </c>
      <c r="H6">
        <v>5</v>
      </c>
    </row>
    <row r="7" spans="1:8" x14ac:dyDescent="0.35">
      <c r="A7" s="3" t="s">
        <v>7</v>
      </c>
      <c r="B7" s="5">
        <v>2363.04</v>
      </c>
      <c r="D7" s="3" t="s">
        <v>10</v>
      </c>
      <c r="E7">
        <v>193</v>
      </c>
      <c r="G7" s="3" t="s">
        <v>19</v>
      </c>
      <c r="H7">
        <v>4</v>
      </c>
    </row>
    <row r="8" spans="1:8" x14ac:dyDescent="0.35">
      <c r="A8" s="3" t="s">
        <v>13</v>
      </c>
      <c r="B8" s="5">
        <v>1749.8700000000001</v>
      </c>
      <c r="D8" s="3" t="s">
        <v>19</v>
      </c>
      <c r="E8">
        <v>183</v>
      </c>
      <c r="G8" s="3" t="s">
        <v>16</v>
      </c>
      <c r="H8">
        <v>4</v>
      </c>
    </row>
    <row r="9" spans="1:8" x14ac:dyDescent="0.35">
      <c r="A9" s="3" t="s">
        <v>24</v>
      </c>
      <c r="B9" s="5">
        <v>1641.43</v>
      </c>
      <c r="D9" s="3" t="s">
        <v>21</v>
      </c>
      <c r="E9">
        <v>173</v>
      </c>
      <c r="G9" s="3" t="s">
        <v>10</v>
      </c>
      <c r="H9">
        <v>4</v>
      </c>
    </row>
    <row r="10" spans="1:8" x14ac:dyDescent="0.35">
      <c r="A10" s="3" t="s">
        <v>21</v>
      </c>
      <c r="B10" s="5">
        <v>1387.77</v>
      </c>
      <c r="D10" s="3" t="s">
        <v>23</v>
      </c>
      <c r="E10">
        <v>170</v>
      </c>
      <c r="G10" s="3" t="s">
        <v>23</v>
      </c>
      <c r="H10">
        <v>3</v>
      </c>
    </row>
    <row r="11" spans="1:8" x14ac:dyDescent="0.35">
      <c r="A11" s="3" t="s">
        <v>16</v>
      </c>
      <c r="B11" s="5">
        <v>1283.6099999999999</v>
      </c>
      <c r="D11" s="3" t="s">
        <v>24</v>
      </c>
      <c r="E11">
        <v>156</v>
      </c>
      <c r="G11" s="3" t="s">
        <v>21</v>
      </c>
      <c r="H11">
        <v>3</v>
      </c>
    </row>
    <row r="12" spans="1:8" x14ac:dyDescent="0.35">
      <c r="A12" s="3" t="s">
        <v>20</v>
      </c>
      <c r="B12" s="5">
        <v>1203.1100000000001</v>
      </c>
      <c r="D12" s="3" t="s">
        <v>16</v>
      </c>
      <c r="E12">
        <v>142</v>
      </c>
      <c r="G12" s="3" t="s">
        <v>24</v>
      </c>
      <c r="H12">
        <v>3</v>
      </c>
    </row>
    <row r="13" spans="1:8" x14ac:dyDescent="0.35">
      <c r="A13" s="3" t="s">
        <v>22</v>
      </c>
      <c r="B13" s="5">
        <v>536.75</v>
      </c>
      <c r="D13" s="3" t="s">
        <v>22</v>
      </c>
      <c r="E13">
        <v>125</v>
      </c>
      <c r="G13" s="3" t="s">
        <v>20</v>
      </c>
      <c r="H13">
        <v>2</v>
      </c>
    </row>
    <row r="14" spans="1:8" x14ac:dyDescent="0.35">
      <c r="A14" s="3" t="s">
        <v>19</v>
      </c>
      <c r="B14" s="5">
        <v>438.37</v>
      </c>
      <c r="D14" s="3" t="s">
        <v>20</v>
      </c>
      <c r="E14">
        <v>89</v>
      </c>
      <c r="G14" s="3" t="s">
        <v>22</v>
      </c>
      <c r="H14">
        <v>2</v>
      </c>
    </row>
    <row r="15" spans="1:8" x14ac:dyDescent="0.35">
      <c r="A15" s="3" t="s">
        <v>48</v>
      </c>
      <c r="B15" s="5">
        <v>19627.88</v>
      </c>
      <c r="D15" s="3" t="s">
        <v>48</v>
      </c>
      <c r="E15">
        <v>2121</v>
      </c>
      <c r="G15" s="3" t="s">
        <v>48</v>
      </c>
      <c r="H15">
        <v>43</v>
      </c>
    </row>
  </sheetData>
  <mergeCells count="3">
    <mergeCell ref="A2:B2"/>
    <mergeCell ref="D2:E2"/>
    <mergeCell ref="G2:H2"/>
  </mergeCell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952B-F5EA-426E-B414-6E43AA1765CB}">
  <dimension ref="A2:H7"/>
  <sheetViews>
    <sheetView workbookViewId="0">
      <selection activeCell="D2" sqref="D2:E2"/>
    </sheetView>
  </sheetViews>
  <sheetFormatPr defaultRowHeight="14.5" x14ac:dyDescent="0.35"/>
  <cols>
    <col min="1" max="1" width="10.7265625" bestFit="1" customWidth="1"/>
    <col min="2" max="2" width="11.1796875" bestFit="1" customWidth="1"/>
    <col min="4" max="4" width="12.36328125" bestFit="1" customWidth="1"/>
    <col min="5" max="5" width="9.90625" bestFit="1" customWidth="1"/>
    <col min="7" max="7" width="12.36328125" bestFit="1" customWidth="1"/>
    <col min="8" max="8" width="11.26953125" bestFit="1" customWidth="1"/>
  </cols>
  <sheetData>
    <row r="2" spans="1:8" x14ac:dyDescent="0.35">
      <c r="A2" s="8" t="s">
        <v>55</v>
      </c>
      <c r="B2" s="8"/>
      <c r="D2" s="8" t="s">
        <v>57</v>
      </c>
      <c r="E2" s="8"/>
      <c r="G2" s="8" t="s">
        <v>56</v>
      </c>
      <c r="H2" s="8"/>
    </row>
    <row r="3" spans="1:8" x14ac:dyDescent="0.35">
      <c r="A3" s="2" t="s">
        <v>1</v>
      </c>
      <c r="B3" t="s">
        <v>68</v>
      </c>
      <c r="D3" s="2" t="s">
        <v>47</v>
      </c>
      <c r="E3" t="s">
        <v>69</v>
      </c>
      <c r="G3" s="2" t="s">
        <v>47</v>
      </c>
      <c r="H3" t="s">
        <v>70</v>
      </c>
    </row>
    <row r="4" spans="1:8" x14ac:dyDescent="0.35">
      <c r="A4" s="3" t="s">
        <v>9</v>
      </c>
      <c r="B4" s="5">
        <v>11139.069999999998</v>
      </c>
      <c r="D4" s="3" t="s">
        <v>9</v>
      </c>
      <c r="E4">
        <v>1199</v>
      </c>
      <c r="G4" s="3" t="s">
        <v>9</v>
      </c>
      <c r="H4">
        <v>24</v>
      </c>
    </row>
    <row r="5" spans="1:8" x14ac:dyDescent="0.35">
      <c r="A5" s="3" t="s">
        <v>6</v>
      </c>
      <c r="B5" s="5">
        <v>6002.09</v>
      </c>
      <c r="D5" s="3" t="s">
        <v>6</v>
      </c>
      <c r="E5">
        <v>691</v>
      </c>
      <c r="G5" s="3" t="s">
        <v>6</v>
      </c>
      <c r="H5">
        <v>13</v>
      </c>
    </row>
    <row r="6" spans="1:8" x14ac:dyDescent="0.35">
      <c r="A6" s="3" t="s">
        <v>15</v>
      </c>
      <c r="B6" s="5">
        <v>2486.7200000000003</v>
      </c>
      <c r="D6" s="3" t="s">
        <v>15</v>
      </c>
      <c r="E6">
        <v>231</v>
      </c>
      <c r="G6" s="3" t="s">
        <v>15</v>
      </c>
      <c r="H6">
        <v>6</v>
      </c>
    </row>
    <row r="7" spans="1:8" x14ac:dyDescent="0.35">
      <c r="A7" s="3" t="s">
        <v>48</v>
      </c>
      <c r="B7" s="5">
        <v>19627.879999999997</v>
      </c>
      <c r="D7" s="3" t="s">
        <v>48</v>
      </c>
      <c r="E7">
        <v>2121</v>
      </c>
      <c r="G7" s="3" t="s">
        <v>48</v>
      </c>
      <c r="H7">
        <v>43</v>
      </c>
    </row>
  </sheetData>
  <mergeCells count="3">
    <mergeCell ref="A2:B2"/>
    <mergeCell ref="D2:E2"/>
    <mergeCell ref="G2:H2"/>
  </mergeCell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8BC8D-E828-4E69-ABF3-C3F8CEAAB699}">
  <dimension ref="A2:H9"/>
  <sheetViews>
    <sheetView zoomScale="83" workbookViewId="0">
      <selection activeCell="H4" sqref="H4:H8"/>
    </sheetView>
  </sheetViews>
  <sheetFormatPr defaultRowHeight="14.5" x14ac:dyDescent="0.35"/>
  <cols>
    <col min="1" max="1" width="10.7265625" bestFit="1" customWidth="1"/>
    <col min="2" max="2" width="11.26953125" bestFit="1" customWidth="1"/>
    <col min="4" max="4" width="10.7265625" bestFit="1" customWidth="1"/>
    <col min="5" max="5" width="11.26953125" bestFit="1" customWidth="1"/>
    <col min="7" max="7" width="10.7265625" bestFit="1" customWidth="1"/>
    <col min="8" max="8" width="11.26953125" bestFit="1" customWidth="1"/>
  </cols>
  <sheetData>
    <row r="2" spans="1:8" x14ac:dyDescent="0.35">
      <c r="A2" s="8" t="s">
        <v>58</v>
      </c>
      <c r="B2" s="8"/>
      <c r="D2" s="8" t="s">
        <v>59</v>
      </c>
      <c r="E2" s="8"/>
      <c r="G2" s="8" t="s">
        <v>60</v>
      </c>
      <c r="H2" s="8"/>
    </row>
    <row r="3" spans="1:8" x14ac:dyDescent="0.35">
      <c r="A3" s="2" t="s">
        <v>72</v>
      </c>
      <c r="B3" t="s">
        <v>68</v>
      </c>
      <c r="D3" s="2" t="s">
        <v>72</v>
      </c>
      <c r="E3" t="s">
        <v>70</v>
      </c>
      <c r="G3" s="2" t="s">
        <v>72</v>
      </c>
      <c r="H3" t="s">
        <v>70</v>
      </c>
    </row>
    <row r="4" spans="1:8" x14ac:dyDescent="0.35">
      <c r="A4" s="3" t="s">
        <v>11</v>
      </c>
      <c r="B4" s="5">
        <v>9577.65</v>
      </c>
      <c r="D4" s="3" t="s">
        <v>11</v>
      </c>
      <c r="E4" s="5">
        <v>722</v>
      </c>
      <c r="G4" s="3" t="s">
        <v>11</v>
      </c>
      <c r="H4" s="5">
        <v>15</v>
      </c>
    </row>
    <row r="5" spans="1:8" x14ac:dyDescent="0.35">
      <c r="A5" s="3" t="s">
        <v>26</v>
      </c>
      <c r="B5" s="5">
        <v>4169.87</v>
      </c>
      <c r="D5" s="3" t="s">
        <v>8</v>
      </c>
      <c r="E5" s="5">
        <v>716</v>
      </c>
      <c r="G5" s="3" t="s">
        <v>8</v>
      </c>
      <c r="H5" s="5">
        <v>13</v>
      </c>
    </row>
    <row r="6" spans="1:8" x14ac:dyDescent="0.35">
      <c r="A6" s="3" t="s">
        <v>8</v>
      </c>
      <c r="B6" s="5">
        <v>2135.1400000000003</v>
      </c>
      <c r="D6" s="3" t="s">
        <v>26</v>
      </c>
      <c r="E6" s="5">
        <v>395</v>
      </c>
      <c r="G6" s="3" t="s">
        <v>26</v>
      </c>
      <c r="H6" s="5">
        <v>7</v>
      </c>
    </row>
    <row r="7" spans="1:8" x14ac:dyDescent="0.35">
      <c r="A7" s="3" t="s">
        <v>14</v>
      </c>
      <c r="B7" s="5">
        <v>2045.22</v>
      </c>
      <c r="D7" s="3" t="s">
        <v>14</v>
      </c>
      <c r="E7" s="5">
        <v>278</v>
      </c>
      <c r="G7" s="3" t="s">
        <v>14</v>
      </c>
      <c r="H7" s="5">
        <v>5</v>
      </c>
    </row>
    <row r="8" spans="1:8" x14ac:dyDescent="0.35">
      <c r="A8" s="3" t="s">
        <v>25</v>
      </c>
      <c r="B8" s="5">
        <v>1700</v>
      </c>
      <c r="D8" s="3" t="s">
        <v>25</v>
      </c>
      <c r="E8" s="5">
        <v>10</v>
      </c>
      <c r="G8" s="3" t="s">
        <v>25</v>
      </c>
      <c r="H8" s="5">
        <v>3</v>
      </c>
    </row>
    <row r="9" spans="1:8" x14ac:dyDescent="0.35">
      <c r="A9" s="3" t="s">
        <v>48</v>
      </c>
      <c r="B9" s="5">
        <v>19627.879999999997</v>
      </c>
      <c r="D9" s="3" t="s">
        <v>48</v>
      </c>
      <c r="E9">
        <v>2121</v>
      </c>
      <c r="G9" s="3" t="s">
        <v>48</v>
      </c>
      <c r="H9">
        <v>43</v>
      </c>
    </row>
  </sheetData>
  <mergeCells count="3">
    <mergeCell ref="A2:B2"/>
    <mergeCell ref="D2:E2"/>
    <mergeCell ref="G2:H2"/>
  </mergeCell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10220-F6A1-4ACC-84D6-57AF92A246E0}">
  <dimension ref="A2:H20"/>
  <sheetViews>
    <sheetView topLeftCell="A3" zoomScale="70" zoomScaleNormal="70" workbookViewId="0">
      <selection activeCell="C20" sqref="C20"/>
    </sheetView>
  </sheetViews>
  <sheetFormatPr defaultRowHeight="14.5" x14ac:dyDescent="0.35"/>
  <cols>
    <col min="1" max="1" width="10.7265625" bestFit="1" customWidth="1"/>
    <col min="2" max="2" width="11.1796875" bestFit="1" customWidth="1"/>
    <col min="3" max="3" width="21.6328125" customWidth="1"/>
    <col min="4" max="4" width="10.7265625" bestFit="1" customWidth="1"/>
    <col min="5" max="5" width="9.90625" bestFit="1" customWidth="1"/>
    <col min="7" max="7" width="10.7265625" bestFit="1" customWidth="1"/>
    <col min="8" max="8" width="11.26953125" bestFit="1" customWidth="1"/>
  </cols>
  <sheetData>
    <row r="2" spans="1:8" x14ac:dyDescent="0.35">
      <c r="A2" s="8" t="s">
        <v>61</v>
      </c>
      <c r="B2" s="8"/>
      <c r="D2" s="8" t="s">
        <v>62</v>
      </c>
      <c r="E2" s="8"/>
      <c r="G2" s="8" t="s">
        <v>63</v>
      </c>
      <c r="H2" s="8"/>
    </row>
    <row r="3" spans="1:8" x14ac:dyDescent="0.35">
      <c r="A3" s="2" t="s">
        <v>71</v>
      </c>
      <c r="B3" t="s">
        <v>68</v>
      </c>
      <c r="D3" s="2" t="s">
        <v>71</v>
      </c>
      <c r="E3" t="s">
        <v>69</v>
      </c>
      <c r="G3" s="2" t="s">
        <v>71</v>
      </c>
      <c r="H3" t="s">
        <v>70</v>
      </c>
    </row>
    <row r="4" spans="1:8" x14ac:dyDescent="0.35">
      <c r="A4" s="3" t="s">
        <v>49</v>
      </c>
      <c r="B4" s="5">
        <v>9258.34</v>
      </c>
      <c r="D4" s="3" t="s">
        <v>49</v>
      </c>
      <c r="G4" s="3" t="s">
        <v>49</v>
      </c>
    </row>
    <row r="5" spans="1:8" x14ac:dyDescent="0.35">
      <c r="A5" s="4" t="s">
        <v>51</v>
      </c>
      <c r="B5" s="5">
        <v>2075.36</v>
      </c>
      <c r="D5" s="4" t="s">
        <v>51</v>
      </c>
      <c r="E5">
        <v>264</v>
      </c>
      <c r="G5" s="4" t="s">
        <v>51</v>
      </c>
      <c r="H5">
        <v>5</v>
      </c>
    </row>
    <row r="6" spans="1:8" x14ac:dyDescent="0.35">
      <c r="A6" s="4" t="s">
        <v>52</v>
      </c>
      <c r="B6" s="5">
        <v>1949.9299999999998</v>
      </c>
      <c r="D6" s="4" t="s">
        <v>52</v>
      </c>
      <c r="E6">
        <v>407</v>
      </c>
      <c r="G6" s="4" t="s">
        <v>52</v>
      </c>
      <c r="H6">
        <v>6</v>
      </c>
    </row>
    <row r="7" spans="1:8" x14ac:dyDescent="0.35">
      <c r="A7" s="4" t="s">
        <v>53</v>
      </c>
      <c r="B7" s="5">
        <v>2357.3900000000003</v>
      </c>
      <c r="D7" s="4" t="s">
        <v>53</v>
      </c>
      <c r="E7">
        <v>163</v>
      </c>
      <c r="G7" s="4" t="s">
        <v>53</v>
      </c>
      <c r="H7">
        <v>5</v>
      </c>
    </row>
    <row r="8" spans="1:8" x14ac:dyDescent="0.35">
      <c r="A8" s="4" t="s">
        <v>54</v>
      </c>
      <c r="B8" s="5">
        <v>2875.66</v>
      </c>
      <c r="D8" s="4" t="s">
        <v>54</v>
      </c>
      <c r="E8">
        <v>344</v>
      </c>
      <c r="G8" s="4" t="s">
        <v>54</v>
      </c>
      <c r="H8">
        <v>6</v>
      </c>
    </row>
    <row r="9" spans="1:8" x14ac:dyDescent="0.35">
      <c r="A9" s="3" t="s">
        <v>50</v>
      </c>
      <c r="B9" s="5">
        <v>10369.540000000001</v>
      </c>
      <c r="D9" s="3" t="s">
        <v>50</v>
      </c>
      <c r="G9" s="3" t="s">
        <v>50</v>
      </c>
    </row>
    <row r="10" spans="1:8" x14ac:dyDescent="0.35">
      <c r="A10" s="4" t="s">
        <v>51</v>
      </c>
      <c r="B10" s="5">
        <v>2127.9300000000003</v>
      </c>
      <c r="D10" s="4" t="s">
        <v>51</v>
      </c>
      <c r="E10">
        <v>194</v>
      </c>
      <c r="G10" s="4" t="s">
        <v>51</v>
      </c>
      <c r="H10">
        <v>5</v>
      </c>
    </row>
    <row r="11" spans="1:8" x14ac:dyDescent="0.35">
      <c r="A11" s="4" t="s">
        <v>52</v>
      </c>
      <c r="B11" s="5">
        <v>3902.01</v>
      </c>
      <c r="D11" s="4" t="s">
        <v>52</v>
      </c>
      <c r="E11">
        <v>394</v>
      </c>
      <c r="G11" s="4" t="s">
        <v>52</v>
      </c>
      <c r="H11">
        <v>6</v>
      </c>
    </row>
    <row r="12" spans="1:8" x14ac:dyDescent="0.35">
      <c r="A12" s="4" t="s">
        <v>53</v>
      </c>
      <c r="B12" s="5">
        <v>2987.5</v>
      </c>
      <c r="D12" s="4" t="s">
        <v>53</v>
      </c>
      <c r="E12">
        <v>245</v>
      </c>
      <c r="G12" s="4" t="s">
        <v>53</v>
      </c>
      <c r="H12">
        <v>6</v>
      </c>
    </row>
    <row r="13" spans="1:8" x14ac:dyDescent="0.35">
      <c r="A13" s="4" t="s">
        <v>54</v>
      </c>
      <c r="B13" s="5">
        <v>1352.1000000000001</v>
      </c>
      <c r="D13" s="4" t="s">
        <v>54</v>
      </c>
      <c r="E13">
        <v>110</v>
      </c>
      <c r="G13" s="4" t="s">
        <v>54</v>
      </c>
      <c r="H13">
        <v>4</v>
      </c>
    </row>
    <row r="14" spans="1:8" x14ac:dyDescent="0.35">
      <c r="A14" s="3" t="s">
        <v>48</v>
      </c>
      <c r="B14" s="5">
        <v>19627.879999999997</v>
      </c>
      <c r="D14" s="3" t="s">
        <v>48</v>
      </c>
      <c r="E14">
        <v>2121</v>
      </c>
      <c r="G14" s="3" t="s">
        <v>48</v>
      </c>
      <c r="H14">
        <v>43</v>
      </c>
    </row>
    <row r="18" spans="1:2" x14ac:dyDescent="0.35">
      <c r="A18" t="str">
        <f>B3</f>
        <v>Total Sales</v>
      </c>
      <c r="B18" s="7">
        <f>GETPIVOTDATA("Total",$A$3)</f>
        <v>19627.879999999997</v>
      </c>
    </row>
    <row r="19" spans="1:2" x14ac:dyDescent="0.35">
      <c r="A19" t="str">
        <f>E3</f>
        <v>Total Units</v>
      </c>
      <c r="B19" s="6">
        <f>GETPIVOTDATA("Units",$D$3)</f>
        <v>2121</v>
      </c>
    </row>
    <row r="20" spans="1:2" x14ac:dyDescent="0.35">
      <c r="A20" t="str">
        <f>H3</f>
        <v>Total Orders</v>
      </c>
      <c r="B20">
        <f>GETPIVOTDATA("OrderDate",$G$3)</f>
        <v>43</v>
      </c>
    </row>
  </sheetData>
  <mergeCells count="3">
    <mergeCell ref="A2:B2"/>
    <mergeCell ref="D2:E2"/>
    <mergeCell ref="G2:H2"/>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59B4-84E5-4378-BC9B-12A7869E8B90}">
  <dimension ref="A1:I44"/>
  <sheetViews>
    <sheetView workbookViewId="0">
      <selection activeCell="H9" sqref="H9"/>
    </sheetView>
  </sheetViews>
  <sheetFormatPr defaultRowHeight="14.5" x14ac:dyDescent="0.35"/>
  <cols>
    <col min="1" max="1" width="12" bestFit="1" customWidth="1"/>
    <col min="2" max="2" width="16.81640625" customWidth="1"/>
    <col min="3" max="3" width="14.7265625" bestFit="1" customWidth="1"/>
    <col min="5" max="5" width="9.7265625" bestFit="1" customWidth="1"/>
    <col min="6" max="6" width="7" bestFit="1" customWidth="1"/>
    <col min="7" max="7" width="7.453125" bestFit="1" customWidth="1"/>
    <col min="8" max="8" width="10.81640625" bestFit="1" customWidth="1"/>
    <col min="9" max="9" width="7.81640625" bestFit="1" customWidth="1"/>
  </cols>
  <sheetData>
    <row r="1" spans="1:9" x14ac:dyDescent="0.35">
      <c r="A1" t="s">
        <v>0</v>
      </c>
      <c r="B1" t="s">
        <v>32</v>
      </c>
      <c r="C1" t="s">
        <v>33</v>
      </c>
      <c r="D1" t="s">
        <v>1</v>
      </c>
      <c r="E1" t="s">
        <v>2</v>
      </c>
      <c r="F1" t="s">
        <v>3</v>
      </c>
      <c r="G1" t="s">
        <v>4</v>
      </c>
      <c r="H1" t="s">
        <v>5</v>
      </c>
      <c r="I1" t="s">
        <v>34</v>
      </c>
    </row>
    <row r="2" spans="1:9" x14ac:dyDescent="0.35">
      <c r="A2" s="1">
        <v>44202</v>
      </c>
      <c r="B2">
        <v>1</v>
      </c>
      <c r="C2" t="s">
        <v>35</v>
      </c>
      <c r="D2" t="s">
        <v>6</v>
      </c>
      <c r="E2" t="s">
        <v>7</v>
      </c>
      <c r="F2" t="s">
        <v>8</v>
      </c>
      <c r="G2">
        <v>95</v>
      </c>
      <c r="H2">
        <v>1.99</v>
      </c>
      <c r="I2">
        <v>189.05</v>
      </c>
    </row>
    <row r="3" spans="1:9" x14ac:dyDescent="0.35">
      <c r="A3" s="1">
        <v>44219</v>
      </c>
      <c r="B3">
        <v>1</v>
      </c>
      <c r="C3" t="s">
        <v>35</v>
      </c>
      <c r="D3" t="s">
        <v>9</v>
      </c>
      <c r="E3" t="s">
        <v>10</v>
      </c>
      <c r="F3" t="s">
        <v>11</v>
      </c>
      <c r="G3">
        <v>50</v>
      </c>
      <c r="H3">
        <v>19.989999999999998</v>
      </c>
      <c r="I3">
        <v>999.5</v>
      </c>
    </row>
    <row r="4" spans="1:9" x14ac:dyDescent="0.35">
      <c r="A4" s="1">
        <v>44236</v>
      </c>
      <c r="B4">
        <v>2</v>
      </c>
      <c r="C4" t="s">
        <v>36</v>
      </c>
      <c r="D4" t="s">
        <v>9</v>
      </c>
      <c r="E4" t="s">
        <v>12</v>
      </c>
      <c r="F4" t="s">
        <v>8</v>
      </c>
      <c r="G4">
        <v>36</v>
      </c>
      <c r="H4">
        <v>4.99</v>
      </c>
      <c r="I4">
        <v>179.64</v>
      </c>
    </row>
    <row r="5" spans="1:9" x14ac:dyDescent="0.35">
      <c r="A5" s="1">
        <v>44253</v>
      </c>
      <c r="B5">
        <v>2</v>
      </c>
      <c r="C5" t="s">
        <v>36</v>
      </c>
      <c r="D5" t="s">
        <v>9</v>
      </c>
      <c r="E5" t="s">
        <v>13</v>
      </c>
      <c r="F5" t="s">
        <v>14</v>
      </c>
      <c r="G5">
        <v>27</v>
      </c>
      <c r="H5">
        <v>19.989999999999998</v>
      </c>
      <c r="I5">
        <v>539.73</v>
      </c>
    </row>
    <row r="6" spans="1:9" x14ac:dyDescent="0.35">
      <c r="A6" s="1">
        <v>44270</v>
      </c>
      <c r="B6">
        <v>3</v>
      </c>
      <c r="C6" t="s">
        <v>37</v>
      </c>
      <c r="D6" t="s">
        <v>15</v>
      </c>
      <c r="E6" t="s">
        <v>16</v>
      </c>
      <c r="F6" t="s">
        <v>8</v>
      </c>
      <c r="G6">
        <v>56</v>
      </c>
      <c r="H6">
        <v>2.99</v>
      </c>
      <c r="I6">
        <v>167.44</v>
      </c>
    </row>
    <row r="7" spans="1:9" x14ac:dyDescent="0.35">
      <c r="A7" s="1">
        <v>44287</v>
      </c>
      <c r="B7">
        <v>4</v>
      </c>
      <c r="C7" t="s">
        <v>38</v>
      </c>
      <c r="D7" t="s">
        <v>6</v>
      </c>
      <c r="E7" t="s">
        <v>7</v>
      </c>
      <c r="F7" t="s">
        <v>11</v>
      </c>
      <c r="G7">
        <v>60</v>
      </c>
      <c r="H7">
        <v>4.99</v>
      </c>
      <c r="I7">
        <v>299.39999999999998</v>
      </c>
    </row>
    <row r="8" spans="1:9" x14ac:dyDescent="0.35">
      <c r="A8" s="1">
        <v>44304</v>
      </c>
      <c r="B8">
        <v>4</v>
      </c>
      <c r="C8" t="s">
        <v>38</v>
      </c>
      <c r="D8" t="s">
        <v>9</v>
      </c>
      <c r="E8" t="s">
        <v>19</v>
      </c>
      <c r="F8" t="s">
        <v>8</v>
      </c>
      <c r="G8">
        <v>75</v>
      </c>
      <c r="H8">
        <v>1.99</v>
      </c>
      <c r="I8">
        <v>149.25</v>
      </c>
    </row>
    <row r="9" spans="1:9" x14ac:dyDescent="0.35">
      <c r="A9" s="1">
        <v>44321</v>
      </c>
      <c r="B9">
        <v>5</v>
      </c>
      <c r="C9" t="s">
        <v>39</v>
      </c>
      <c r="D9" t="s">
        <v>9</v>
      </c>
      <c r="E9" t="s">
        <v>12</v>
      </c>
      <c r="F9" t="s">
        <v>8</v>
      </c>
      <c r="G9">
        <v>90</v>
      </c>
      <c r="H9">
        <v>4.99</v>
      </c>
      <c r="I9">
        <v>449.1</v>
      </c>
    </row>
    <row r="10" spans="1:9" x14ac:dyDescent="0.35">
      <c r="A10" s="1">
        <v>44338</v>
      </c>
      <c r="B10">
        <v>5</v>
      </c>
      <c r="C10" t="s">
        <v>39</v>
      </c>
      <c r="D10" t="s">
        <v>15</v>
      </c>
      <c r="E10" t="s">
        <v>20</v>
      </c>
      <c r="F10" t="s">
        <v>8</v>
      </c>
      <c r="G10">
        <v>32</v>
      </c>
      <c r="H10">
        <v>1.99</v>
      </c>
      <c r="I10">
        <v>63.68</v>
      </c>
    </row>
    <row r="11" spans="1:9" x14ac:dyDescent="0.35">
      <c r="A11" s="1">
        <v>44355</v>
      </c>
      <c r="B11">
        <v>6</v>
      </c>
      <c r="C11" t="s">
        <v>40</v>
      </c>
      <c r="D11" t="s">
        <v>6</v>
      </c>
      <c r="E11" t="s">
        <v>7</v>
      </c>
      <c r="F11" t="s">
        <v>11</v>
      </c>
      <c r="G11">
        <v>60</v>
      </c>
      <c r="H11">
        <v>8.99</v>
      </c>
      <c r="I11">
        <v>539.4</v>
      </c>
    </row>
    <row r="12" spans="1:9" x14ac:dyDescent="0.35">
      <c r="A12" s="1">
        <v>44369</v>
      </c>
      <c r="B12">
        <v>6</v>
      </c>
      <c r="C12" t="s">
        <v>40</v>
      </c>
      <c r="D12" t="s">
        <v>9</v>
      </c>
      <c r="E12" t="s">
        <v>21</v>
      </c>
      <c r="F12" t="s">
        <v>8</v>
      </c>
      <c r="G12">
        <v>90</v>
      </c>
      <c r="H12">
        <v>4.99</v>
      </c>
      <c r="I12">
        <v>449.1</v>
      </c>
    </row>
    <row r="13" spans="1:9" x14ac:dyDescent="0.35">
      <c r="A13" s="1">
        <v>44389</v>
      </c>
      <c r="B13">
        <v>7</v>
      </c>
      <c r="C13" t="s">
        <v>41</v>
      </c>
      <c r="D13" t="s">
        <v>6</v>
      </c>
      <c r="E13" t="s">
        <v>22</v>
      </c>
      <c r="F13" t="s">
        <v>11</v>
      </c>
      <c r="G13">
        <v>29</v>
      </c>
      <c r="H13">
        <v>1.99</v>
      </c>
      <c r="I13">
        <v>57.71</v>
      </c>
    </row>
    <row r="14" spans="1:9" x14ac:dyDescent="0.35">
      <c r="A14" s="1">
        <v>44406</v>
      </c>
      <c r="B14">
        <v>7</v>
      </c>
      <c r="C14" t="s">
        <v>41</v>
      </c>
      <c r="D14" t="s">
        <v>6</v>
      </c>
      <c r="E14" t="s">
        <v>23</v>
      </c>
      <c r="F14" t="s">
        <v>11</v>
      </c>
      <c r="G14">
        <v>81</v>
      </c>
      <c r="H14">
        <v>19.989999999999998</v>
      </c>
      <c r="I14">
        <v>1619.19</v>
      </c>
    </row>
    <row r="15" spans="1:9" x14ac:dyDescent="0.35">
      <c r="A15" s="1">
        <v>44423</v>
      </c>
      <c r="B15">
        <v>8</v>
      </c>
      <c r="C15" t="s">
        <v>42</v>
      </c>
      <c r="D15" t="s">
        <v>6</v>
      </c>
      <c r="E15" t="s">
        <v>7</v>
      </c>
      <c r="F15" t="s">
        <v>8</v>
      </c>
      <c r="G15">
        <v>35</v>
      </c>
      <c r="H15">
        <v>4.99</v>
      </c>
      <c r="I15">
        <v>174.65</v>
      </c>
    </row>
    <row r="16" spans="1:9" x14ac:dyDescent="0.35">
      <c r="A16" s="1">
        <v>44440</v>
      </c>
      <c r="B16">
        <v>9</v>
      </c>
      <c r="C16" t="s">
        <v>43</v>
      </c>
      <c r="D16" t="s">
        <v>9</v>
      </c>
      <c r="E16" t="s">
        <v>24</v>
      </c>
      <c r="F16" t="s">
        <v>25</v>
      </c>
      <c r="G16">
        <v>2</v>
      </c>
      <c r="H16">
        <v>125</v>
      </c>
      <c r="I16">
        <v>250</v>
      </c>
    </row>
    <row r="17" spans="1:9" x14ac:dyDescent="0.35">
      <c r="A17" s="1">
        <v>44457</v>
      </c>
      <c r="B17">
        <v>9</v>
      </c>
      <c r="C17" t="s">
        <v>43</v>
      </c>
      <c r="D17" t="s">
        <v>6</v>
      </c>
      <c r="E17" t="s">
        <v>7</v>
      </c>
      <c r="F17" t="s">
        <v>26</v>
      </c>
      <c r="G17">
        <v>16</v>
      </c>
      <c r="H17">
        <v>15.99</v>
      </c>
      <c r="I17">
        <v>255.84</v>
      </c>
    </row>
    <row r="18" spans="1:9" x14ac:dyDescent="0.35">
      <c r="A18" s="1">
        <v>44474</v>
      </c>
      <c r="B18">
        <v>10</v>
      </c>
      <c r="C18" t="s">
        <v>44</v>
      </c>
      <c r="D18" t="s">
        <v>9</v>
      </c>
      <c r="E18" t="s">
        <v>21</v>
      </c>
      <c r="F18" t="s">
        <v>11</v>
      </c>
      <c r="G18">
        <v>28</v>
      </c>
      <c r="H18">
        <v>8.99</v>
      </c>
      <c r="I18">
        <v>251.72</v>
      </c>
    </row>
    <row r="19" spans="1:9" x14ac:dyDescent="0.35">
      <c r="A19" s="1">
        <v>44491</v>
      </c>
      <c r="B19">
        <v>10</v>
      </c>
      <c r="C19" t="s">
        <v>44</v>
      </c>
      <c r="D19" t="s">
        <v>6</v>
      </c>
      <c r="E19" t="s">
        <v>7</v>
      </c>
      <c r="F19" t="s">
        <v>14</v>
      </c>
      <c r="G19">
        <v>64</v>
      </c>
      <c r="H19">
        <v>8.99</v>
      </c>
      <c r="I19">
        <v>575.36</v>
      </c>
    </row>
    <row r="20" spans="1:9" x14ac:dyDescent="0.35">
      <c r="A20" s="1">
        <v>44508</v>
      </c>
      <c r="B20">
        <v>11</v>
      </c>
      <c r="C20" t="s">
        <v>45</v>
      </c>
      <c r="D20" t="s">
        <v>6</v>
      </c>
      <c r="E20" t="s">
        <v>23</v>
      </c>
      <c r="F20" t="s">
        <v>14</v>
      </c>
      <c r="G20">
        <v>15</v>
      </c>
      <c r="H20">
        <v>19.989999999999998</v>
      </c>
      <c r="I20">
        <v>299.85000000000002</v>
      </c>
    </row>
    <row r="21" spans="1:9" x14ac:dyDescent="0.35">
      <c r="A21" s="1">
        <v>44525</v>
      </c>
      <c r="B21">
        <v>11</v>
      </c>
      <c r="C21" t="s">
        <v>45</v>
      </c>
      <c r="D21" t="s">
        <v>9</v>
      </c>
      <c r="E21" t="s">
        <v>10</v>
      </c>
      <c r="F21" t="s">
        <v>26</v>
      </c>
      <c r="G21">
        <v>96</v>
      </c>
      <c r="H21">
        <v>4.99</v>
      </c>
      <c r="I21">
        <v>479.04</v>
      </c>
    </row>
    <row r="22" spans="1:9" x14ac:dyDescent="0.35">
      <c r="A22" s="1">
        <v>44542</v>
      </c>
      <c r="B22">
        <v>12</v>
      </c>
      <c r="C22" t="s">
        <v>46</v>
      </c>
      <c r="D22" t="s">
        <v>9</v>
      </c>
      <c r="E22" t="s">
        <v>24</v>
      </c>
      <c r="F22" t="s">
        <v>8</v>
      </c>
      <c r="G22">
        <v>67</v>
      </c>
      <c r="H22">
        <v>1.29</v>
      </c>
      <c r="I22">
        <v>86.43</v>
      </c>
    </row>
    <row r="23" spans="1:9" x14ac:dyDescent="0.35">
      <c r="A23" s="1">
        <v>44559</v>
      </c>
      <c r="B23">
        <v>12</v>
      </c>
      <c r="C23" t="s">
        <v>46</v>
      </c>
      <c r="D23" t="s">
        <v>6</v>
      </c>
      <c r="E23" t="s">
        <v>23</v>
      </c>
      <c r="F23" t="s">
        <v>26</v>
      </c>
      <c r="G23">
        <v>74</v>
      </c>
      <c r="H23">
        <v>15.99</v>
      </c>
      <c r="I23">
        <v>1183.26</v>
      </c>
    </row>
    <row r="24" spans="1:9" x14ac:dyDescent="0.35">
      <c r="A24" s="1">
        <v>44576</v>
      </c>
      <c r="B24">
        <v>1</v>
      </c>
      <c r="C24" t="s">
        <v>35</v>
      </c>
      <c r="D24" t="s">
        <v>9</v>
      </c>
      <c r="E24" t="s">
        <v>13</v>
      </c>
      <c r="F24" t="s">
        <v>11</v>
      </c>
      <c r="G24">
        <v>46</v>
      </c>
      <c r="H24">
        <v>8.99</v>
      </c>
      <c r="I24">
        <v>413.54</v>
      </c>
    </row>
    <row r="25" spans="1:9" x14ac:dyDescent="0.35">
      <c r="A25" s="1">
        <v>44593</v>
      </c>
      <c r="B25">
        <v>2</v>
      </c>
      <c r="C25" t="s">
        <v>36</v>
      </c>
      <c r="D25" t="s">
        <v>9</v>
      </c>
      <c r="E25" t="s">
        <v>24</v>
      </c>
      <c r="F25" t="s">
        <v>11</v>
      </c>
      <c r="G25">
        <v>87</v>
      </c>
      <c r="H25">
        <v>15</v>
      </c>
      <c r="I25">
        <v>1305</v>
      </c>
    </row>
    <row r="26" spans="1:9" x14ac:dyDescent="0.35">
      <c r="A26" s="1">
        <v>44610</v>
      </c>
      <c r="B26">
        <v>2</v>
      </c>
      <c r="C26" t="s">
        <v>36</v>
      </c>
      <c r="D26" t="s">
        <v>6</v>
      </c>
      <c r="E26" t="s">
        <v>7</v>
      </c>
      <c r="F26" t="s">
        <v>11</v>
      </c>
      <c r="G26">
        <v>4</v>
      </c>
      <c r="H26">
        <v>4.99</v>
      </c>
      <c r="I26">
        <v>19.96</v>
      </c>
    </row>
    <row r="27" spans="1:9" x14ac:dyDescent="0.35">
      <c r="A27" s="1">
        <v>44627</v>
      </c>
      <c r="B27">
        <v>3</v>
      </c>
      <c r="C27" t="s">
        <v>37</v>
      </c>
      <c r="D27" t="s">
        <v>15</v>
      </c>
      <c r="E27" t="s">
        <v>16</v>
      </c>
      <c r="F27" t="s">
        <v>11</v>
      </c>
      <c r="G27">
        <v>7</v>
      </c>
      <c r="H27">
        <v>19.989999999999998</v>
      </c>
      <c r="I27">
        <v>139.93</v>
      </c>
    </row>
    <row r="28" spans="1:9" x14ac:dyDescent="0.35">
      <c r="A28" s="1">
        <v>44644</v>
      </c>
      <c r="B28">
        <v>3</v>
      </c>
      <c r="C28" t="s">
        <v>37</v>
      </c>
      <c r="D28" t="s">
        <v>9</v>
      </c>
      <c r="E28" t="s">
        <v>12</v>
      </c>
      <c r="F28" t="s">
        <v>26</v>
      </c>
      <c r="G28">
        <v>50</v>
      </c>
      <c r="H28">
        <v>4.99</v>
      </c>
      <c r="I28">
        <v>249.5</v>
      </c>
    </row>
    <row r="29" spans="1:9" x14ac:dyDescent="0.35">
      <c r="A29" s="1">
        <v>44661</v>
      </c>
      <c r="B29">
        <v>4</v>
      </c>
      <c r="C29" t="s">
        <v>38</v>
      </c>
      <c r="D29" t="s">
        <v>9</v>
      </c>
      <c r="E29" t="s">
        <v>19</v>
      </c>
      <c r="F29" t="s">
        <v>8</v>
      </c>
      <c r="G29">
        <v>66</v>
      </c>
      <c r="H29">
        <v>1.99</v>
      </c>
      <c r="I29">
        <v>131.34</v>
      </c>
    </row>
    <row r="30" spans="1:9" x14ac:dyDescent="0.35">
      <c r="A30" s="1">
        <v>44678</v>
      </c>
      <c r="B30">
        <v>4</v>
      </c>
      <c r="C30" t="s">
        <v>38</v>
      </c>
      <c r="D30" t="s">
        <v>6</v>
      </c>
      <c r="E30" t="s">
        <v>22</v>
      </c>
      <c r="F30" t="s">
        <v>14</v>
      </c>
      <c r="G30">
        <v>96</v>
      </c>
      <c r="H30">
        <v>4.99</v>
      </c>
      <c r="I30">
        <v>479.04</v>
      </c>
    </row>
    <row r="31" spans="1:9" x14ac:dyDescent="0.35">
      <c r="A31" s="1">
        <v>44695</v>
      </c>
      <c r="B31">
        <v>5</v>
      </c>
      <c r="C31" t="s">
        <v>39</v>
      </c>
      <c r="D31" t="s">
        <v>9</v>
      </c>
      <c r="E31" t="s">
        <v>13</v>
      </c>
      <c r="F31" t="s">
        <v>8</v>
      </c>
      <c r="G31">
        <v>53</v>
      </c>
      <c r="H31">
        <v>1.29</v>
      </c>
      <c r="I31">
        <v>68.37</v>
      </c>
    </row>
    <row r="32" spans="1:9" x14ac:dyDescent="0.35">
      <c r="A32" s="1">
        <v>44712</v>
      </c>
      <c r="B32">
        <v>5</v>
      </c>
      <c r="C32" t="s">
        <v>39</v>
      </c>
      <c r="D32" t="s">
        <v>9</v>
      </c>
      <c r="E32" t="s">
        <v>13</v>
      </c>
      <c r="F32" t="s">
        <v>11</v>
      </c>
      <c r="G32">
        <v>80</v>
      </c>
      <c r="H32">
        <v>8.99</v>
      </c>
      <c r="I32">
        <v>719.2</v>
      </c>
    </row>
    <row r="33" spans="1:9" x14ac:dyDescent="0.35">
      <c r="A33" s="1">
        <v>44729</v>
      </c>
      <c r="B33">
        <v>6</v>
      </c>
      <c r="C33" t="s">
        <v>40</v>
      </c>
      <c r="D33" t="s">
        <v>9</v>
      </c>
      <c r="E33" t="s">
        <v>10</v>
      </c>
      <c r="F33" t="s">
        <v>25</v>
      </c>
      <c r="G33">
        <v>5</v>
      </c>
      <c r="H33">
        <v>125</v>
      </c>
      <c r="I33">
        <v>625</v>
      </c>
    </row>
    <row r="34" spans="1:9" x14ac:dyDescent="0.35">
      <c r="A34" s="1">
        <v>44746</v>
      </c>
      <c r="B34">
        <v>7</v>
      </c>
      <c r="C34" t="s">
        <v>41</v>
      </c>
      <c r="D34" t="s">
        <v>6</v>
      </c>
      <c r="E34" t="s">
        <v>7</v>
      </c>
      <c r="F34" t="s">
        <v>26</v>
      </c>
      <c r="G34">
        <v>62</v>
      </c>
      <c r="H34">
        <v>4.99</v>
      </c>
      <c r="I34">
        <v>309.38</v>
      </c>
    </row>
    <row r="35" spans="1:9" x14ac:dyDescent="0.35">
      <c r="A35" s="1">
        <v>44763</v>
      </c>
      <c r="B35">
        <v>7</v>
      </c>
      <c r="C35" t="s">
        <v>41</v>
      </c>
      <c r="D35" t="s">
        <v>9</v>
      </c>
      <c r="E35" t="s">
        <v>21</v>
      </c>
      <c r="F35" t="s">
        <v>26</v>
      </c>
      <c r="G35">
        <v>55</v>
      </c>
      <c r="H35">
        <v>12.49</v>
      </c>
      <c r="I35">
        <v>686.95</v>
      </c>
    </row>
    <row r="36" spans="1:9" x14ac:dyDescent="0.35">
      <c r="A36" s="1">
        <v>44780</v>
      </c>
      <c r="B36">
        <v>8</v>
      </c>
      <c r="C36" t="s">
        <v>42</v>
      </c>
      <c r="D36" t="s">
        <v>9</v>
      </c>
      <c r="E36" t="s">
        <v>10</v>
      </c>
      <c r="F36" t="s">
        <v>26</v>
      </c>
      <c r="G36">
        <v>42</v>
      </c>
      <c r="H36">
        <v>23.95</v>
      </c>
      <c r="I36">
        <v>1005.9</v>
      </c>
    </row>
    <row r="37" spans="1:9" x14ac:dyDescent="0.35">
      <c r="A37" s="1">
        <v>44798</v>
      </c>
      <c r="B37">
        <v>8</v>
      </c>
      <c r="C37" t="s">
        <v>42</v>
      </c>
      <c r="D37" t="s">
        <v>15</v>
      </c>
      <c r="E37" t="s">
        <v>16</v>
      </c>
      <c r="F37" t="s">
        <v>25</v>
      </c>
      <c r="G37">
        <v>3</v>
      </c>
      <c r="H37">
        <v>275</v>
      </c>
      <c r="I37">
        <v>825</v>
      </c>
    </row>
    <row r="38" spans="1:9" x14ac:dyDescent="0.35">
      <c r="A38" s="1">
        <v>44814</v>
      </c>
      <c r="B38">
        <v>9</v>
      </c>
      <c r="C38" t="s">
        <v>43</v>
      </c>
      <c r="D38" t="s">
        <v>9</v>
      </c>
      <c r="E38" t="s">
        <v>13</v>
      </c>
      <c r="F38" t="s">
        <v>8</v>
      </c>
      <c r="G38">
        <v>7</v>
      </c>
      <c r="H38">
        <v>1.29</v>
      </c>
      <c r="I38">
        <v>9.0299999999999994</v>
      </c>
    </row>
    <row r="39" spans="1:9" x14ac:dyDescent="0.35">
      <c r="A39" s="1">
        <v>44831</v>
      </c>
      <c r="B39">
        <v>9</v>
      </c>
      <c r="C39" t="s">
        <v>43</v>
      </c>
      <c r="D39" t="s">
        <v>15</v>
      </c>
      <c r="E39" t="s">
        <v>16</v>
      </c>
      <c r="F39" t="s">
        <v>14</v>
      </c>
      <c r="G39">
        <v>76</v>
      </c>
      <c r="H39">
        <v>1.99</v>
      </c>
      <c r="I39">
        <v>151.24</v>
      </c>
    </row>
    <row r="40" spans="1:9" x14ac:dyDescent="0.35">
      <c r="A40" s="1">
        <v>44848</v>
      </c>
      <c r="B40">
        <v>10</v>
      </c>
      <c r="C40" t="s">
        <v>44</v>
      </c>
      <c r="D40" t="s">
        <v>15</v>
      </c>
      <c r="E40" t="s">
        <v>20</v>
      </c>
      <c r="F40" t="s">
        <v>11</v>
      </c>
      <c r="G40">
        <v>57</v>
      </c>
      <c r="H40">
        <v>19.989999999999998</v>
      </c>
      <c r="I40">
        <v>1139.43</v>
      </c>
    </row>
    <row r="41" spans="1:9" x14ac:dyDescent="0.35">
      <c r="A41" s="1">
        <v>44865</v>
      </c>
      <c r="B41">
        <v>10</v>
      </c>
      <c r="C41" t="s">
        <v>44</v>
      </c>
      <c r="D41" t="s">
        <v>9</v>
      </c>
      <c r="E41" t="s">
        <v>19</v>
      </c>
      <c r="F41" t="s">
        <v>8</v>
      </c>
      <c r="G41">
        <v>14</v>
      </c>
      <c r="H41">
        <v>1.29</v>
      </c>
      <c r="I41">
        <v>18.059999999999999</v>
      </c>
    </row>
    <row r="42" spans="1:9" x14ac:dyDescent="0.35">
      <c r="A42" s="1">
        <v>44882</v>
      </c>
      <c r="B42">
        <v>11</v>
      </c>
      <c r="C42" t="s">
        <v>45</v>
      </c>
      <c r="D42" t="s">
        <v>9</v>
      </c>
      <c r="E42" t="s">
        <v>12</v>
      </c>
      <c r="F42" t="s">
        <v>11</v>
      </c>
      <c r="G42">
        <v>11</v>
      </c>
      <c r="H42">
        <v>4.99</v>
      </c>
      <c r="I42">
        <v>54.89</v>
      </c>
    </row>
    <row r="43" spans="1:9" x14ac:dyDescent="0.35">
      <c r="A43" s="1">
        <v>44663</v>
      </c>
      <c r="B43">
        <v>4</v>
      </c>
      <c r="C43" t="s">
        <v>38</v>
      </c>
      <c r="D43" t="s">
        <v>9</v>
      </c>
      <c r="E43" t="s">
        <v>12</v>
      </c>
      <c r="F43" t="s">
        <v>11</v>
      </c>
      <c r="G43">
        <v>94</v>
      </c>
      <c r="H43">
        <v>19.989999999999998</v>
      </c>
      <c r="I43">
        <v>1879.06</v>
      </c>
    </row>
    <row r="44" spans="1:9" x14ac:dyDescent="0.35">
      <c r="A44" s="1">
        <v>44916</v>
      </c>
      <c r="B44">
        <v>12</v>
      </c>
      <c r="C44" t="s">
        <v>46</v>
      </c>
      <c r="D44" t="s">
        <v>9</v>
      </c>
      <c r="E44" t="s">
        <v>19</v>
      </c>
      <c r="F44" t="s">
        <v>11</v>
      </c>
      <c r="G44">
        <v>28</v>
      </c>
      <c r="H44">
        <v>4.99</v>
      </c>
      <c r="I44">
        <v>139.72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28E24-150B-45F0-831E-74611C9FE9DB}">
  <dimension ref="B2:Q75"/>
  <sheetViews>
    <sheetView showGridLines="0" tabSelected="1" topLeftCell="A32" zoomScale="40" zoomScaleNormal="40" workbookViewId="0">
      <selection activeCell="X47" sqref="X47"/>
    </sheetView>
  </sheetViews>
  <sheetFormatPr defaultRowHeight="13.5" x14ac:dyDescent="0.25"/>
  <cols>
    <col min="1" max="1" width="8.7265625" style="10"/>
    <col min="2" max="2" width="2.54296875" style="10" customWidth="1"/>
    <col min="3" max="6" width="8.7265625" style="10"/>
    <col min="7" max="12" width="15.453125" style="10" customWidth="1"/>
    <col min="13" max="13" width="5.7265625" style="10" customWidth="1"/>
    <col min="14" max="16" width="15.453125" style="10" customWidth="1"/>
    <col min="17" max="17" width="2.6328125" style="10" customWidth="1"/>
    <col min="18" max="16384" width="8.7265625" style="10"/>
  </cols>
  <sheetData>
    <row r="2" spans="2:17" ht="31" customHeight="1" x14ac:dyDescent="0.25">
      <c r="B2" s="9"/>
      <c r="C2" s="9"/>
      <c r="D2" s="9"/>
      <c r="E2" s="9"/>
      <c r="F2" s="9"/>
      <c r="G2" s="9"/>
      <c r="H2" s="9"/>
      <c r="I2" s="9"/>
      <c r="J2" s="9"/>
      <c r="K2" s="9"/>
      <c r="L2" s="9"/>
      <c r="M2" s="9"/>
      <c r="N2" s="9"/>
      <c r="O2" s="9"/>
      <c r="P2" s="9"/>
      <c r="Q2" s="9"/>
    </row>
    <row r="3" spans="2:17" ht="19.5" customHeight="1" x14ac:dyDescent="0.25">
      <c r="B3" s="9"/>
      <c r="C3" s="9"/>
      <c r="D3" s="9"/>
      <c r="E3" s="9"/>
      <c r="F3" s="9"/>
      <c r="G3" s="9"/>
      <c r="H3" s="9"/>
      <c r="I3" s="9"/>
      <c r="J3" s="9"/>
      <c r="K3" s="9"/>
      <c r="L3" s="9"/>
      <c r="M3" s="9"/>
      <c r="N3" s="9"/>
      <c r="O3" s="9"/>
      <c r="P3" s="9"/>
      <c r="Q3" s="9"/>
    </row>
    <row r="4" spans="2:17" x14ac:dyDescent="0.25">
      <c r="B4" s="9"/>
      <c r="C4" s="9"/>
      <c r="D4" s="9"/>
      <c r="E4" s="9"/>
      <c r="F4" s="9"/>
      <c r="G4" s="9"/>
      <c r="H4" s="9"/>
      <c r="I4" s="9"/>
      <c r="J4" s="9"/>
      <c r="K4" s="9"/>
      <c r="L4" s="9"/>
      <c r="M4" s="9"/>
      <c r="N4" s="9"/>
      <c r="O4" s="9"/>
      <c r="P4" s="9"/>
      <c r="Q4" s="9"/>
    </row>
    <row r="5" spans="2:17" x14ac:dyDescent="0.25">
      <c r="B5" s="11"/>
      <c r="C5" s="12"/>
      <c r="D5" s="12"/>
      <c r="E5" s="12"/>
      <c r="F5" s="12"/>
      <c r="Q5" s="11"/>
    </row>
    <row r="6" spans="2:17" x14ac:dyDescent="0.25">
      <c r="B6" s="11"/>
      <c r="C6" s="12"/>
      <c r="D6" s="12"/>
      <c r="E6" s="12"/>
      <c r="F6" s="12"/>
      <c r="Q6" s="11"/>
    </row>
    <row r="7" spans="2:17" x14ac:dyDescent="0.25">
      <c r="B7" s="11"/>
      <c r="C7" s="12"/>
      <c r="D7" s="12"/>
      <c r="E7" s="12"/>
      <c r="F7" s="12"/>
      <c r="Q7" s="11"/>
    </row>
    <row r="8" spans="2:17" x14ac:dyDescent="0.25">
      <c r="B8" s="11"/>
      <c r="C8" s="12"/>
      <c r="D8" s="12"/>
      <c r="E8" s="12"/>
      <c r="F8" s="12"/>
      <c r="Q8" s="11"/>
    </row>
    <row r="9" spans="2:17" x14ac:dyDescent="0.25">
      <c r="B9" s="11"/>
      <c r="C9" s="12"/>
      <c r="D9" s="12"/>
      <c r="E9" s="12"/>
      <c r="F9" s="12"/>
      <c r="Q9" s="11"/>
    </row>
    <row r="10" spans="2:17" x14ac:dyDescent="0.25">
      <c r="B10" s="11"/>
      <c r="C10" s="12"/>
      <c r="D10" s="12"/>
      <c r="E10" s="12"/>
      <c r="F10" s="12"/>
      <c r="Q10" s="11"/>
    </row>
    <row r="11" spans="2:17" x14ac:dyDescent="0.25">
      <c r="B11" s="11"/>
      <c r="C11" s="12"/>
      <c r="D11" s="12"/>
      <c r="E11" s="12"/>
      <c r="F11" s="12"/>
      <c r="Q11" s="11"/>
    </row>
    <row r="12" spans="2:17" x14ac:dyDescent="0.25">
      <c r="B12" s="11"/>
      <c r="C12" s="12"/>
      <c r="D12" s="12"/>
      <c r="E12" s="12"/>
      <c r="F12" s="12"/>
      <c r="Q12" s="11"/>
    </row>
    <row r="13" spans="2:17" x14ac:dyDescent="0.25">
      <c r="B13" s="11"/>
      <c r="C13" s="12"/>
      <c r="D13" s="12"/>
      <c r="E13" s="12"/>
      <c r="F13" s="12"/>
      <c r="Q13" s="11"/>
    </row>
    <row r="14" spans="2:17" x14ac:dyDescent="0.25">
      <c r="B14" s="11"/>
      <c r="C14" s="12"/>
      <c r="D14" s="12"/>
      <c r="E14" s="12"/>
      <c r="F14" s="12"/>
      <c r="Q14" s="11"/>
    </row>
    <row r="15" spans="2:17" x14ac:dyDescent="0.25">
      <c r="B15" s="11"/>
      <c r="C15" s="12"/>
      <c r="D15" s="12"/>
      <c r="E15" s="12"/>
      <c r="F15" s="12"/>
      <c r="Q15" s="11"/>
    </row>
    <row r="16" spans="2:17" x14ac:dyDescent="0.25">
      <c r="B16" s="11"/>
      <c r="C16" s="12"/>
      <c r="D16" s="12"/>
      <c r="E16" s="12"/>
      <c r="F16" s="12"/>
      <c r="Q16" s="11"/>
    </row>
    <row r="17" spans="2:17" x14ac:dyDescent="0.25">
      <c r="B17" s="11"/>
      <c r="C17" s="12"/>
      <c r="D17" s="12"/>
      <c r="E17" s="12"/>
      <c r="F17" s="12"/>
      <c r="Q17" s="11"/>
    </row>
    <row r="18" spans="2:17" x14ac:dyDescent="0.25">
      <c r="B18" s="11"/>
      <c r="C18" s="12"/>
      <c r="D18" s="12"/>
      <c r="E18" s="12"/>
      <c r="F18" s="12"/>
      <c r="Q18" s="11"/>
    </row>
    <row r="19" spans="2:17" x14ac:dyDescent="0.25">
      <c r="B19" s="11"/>
      <c r="C19" s="12"/>
      <c r="D19" s="12"/>
      <c r="E19" s="12"/>
      <c r="F19" s="12"/>
      <c r="Q19" s="11"/>
    </row>
    <row r="20" spans="2:17" x14ac:dyDescent="0.25">
      <c r="B20" s="11"/>
      <c r="C20" s="12"/>
      <c r="D20" s="12"/>
      <c r="E20" s="12"/>
      <c r="F20" s="12"/>
      <c r="Q20" s="11"/>
    </row>
    <row r="21" spans="2:17" x14ac:dyDescent="0.25">
      <c r="B21" s="11"/>
      <c r="C21" s="12"/>
      <c r="D21" s="12"/>
      <c r="E21" s="12"/>
      <c r="F21" s="12"/>
      <c r="Q21" s="11"/>
    </row>
    <row r="22" spans="2:17" x14ac:dyDescent="0.25">
      <c r="B22" s="11"/>
      <c r="C22" s="12"/>
      <c r="D22" s="12"/>
      <c r="E22" s="12"/>
      <c r="F22" s="12"/>
      <c r="Q22" s="11"/>
    </row>
    <row r="23" spans="2:17" x14ac:dyDescent="0.25">
      <c r="B23" s="11"/>
      <c r="C23" s="12"/>
      <c r="D23" s="12"/>
      <c r="E23" s="12"/>
      <c r="F23" s="12"/>
      <c r="Q23" s="11"/>
    </row>
    <row r="24" spans="2:17" x14ac:dyDescent="0.25">
      <c r="B24" s="11"/>
      <c r="C24" s="12"/>
      <c r="D24" s="12"/>
      <c r="E24" s="12"/>
      <c r="F24" s="12"/>
      <c r="Q24" s="11"/>
    </row>
    <row r="25" spans="2:17" x14ac:dyDescent="0.25">
      <c r="B25" s="11"/>
      <c r="C25" s="12"/>
      <c r="D25" s="12"/>
      <c r="E25" s="12"/>
      <c r="F25" s="12"/>
      <c r="Q25" s="11"/>
    </row>
    <row r="26" spans="2:17" x14ac:dyDescent="0.25">
      <c r="B26" s="11"/>
      <c r="C26" s="12"/>
      <c r="D26" s="12"/>
      <c r="E26" s="12"/>
      <c r="F26" s="12"/>
      <c r="Q26" s="11"/>
    </row>
    <row r="27" spans="2:17" x14ac:dyDescent="0.25">
      <c r="B27" s="11"/>
      <c r="C27" s="12"/>
      <c r="D27" s="12"/>
      <c r="E27" s="12"/>
      <c r="F27" s="12"/>
      <c r="Q27" s="11"/>
    </row>
    <row r="28" spans="2:17" x14ac:dyDescent="0.25">
      <c r="B28" s="11"/>
      <c r="C28" s="12"/>
      <c r="D28" s="12"/>
      <c r="E28" s="12"/>
      <c r="F28" s="12"/>
      <c r="Q28" s="11"/>
    </row>
    <row r="29" spans="2:17" x14ac:dyDescent="0.25">
      <c r="B29" s="11"/>
      <c r="C29" s="12"/>
      <c r="D29" s="12"/>
      <c r="E29" s="12"/>
      <c r="F29" s="12"/>
      <c r="Q29" s="11"/>
    </row>
    <row r="30" spans="2:17" x14ac:dyDescent="0.25">
      <c r="B30" s="11"/>
      <c r="C30" s="12"/>
      <c r="D30" s="12"/>
      <c r="E30" s="12"/>
      <c r="F30" s="12"/>
      <c r="Q30" s="11"/>
    </row>
    <row r="31" spans="2:17" x14ac:dyDescent="0.25">
      <c r="B31" s="11"/>
      <c r="C31" s="12"/>
      <c r="D31" s="12"/>
      <c r="E31" s="12"/>
      <c r="F31" s="12"/>
      <c r="Q31" s="11"/>
    </row>
    <row r="32" spans="2:17" x14ac:dyDescent="0.25">
      <c r="B32" s="11"/>
      <c r="C32" s="12"/>
      <c r="D32" s="12"/>
      <c r="E32" s="12"/>
      <c r="F32" s="12"/>
      <c r="Q32" s="11"/>
    </row>
    <row r="33" spans="2:17" x14ac:dyDescent="0.25">
      <c r="B33" s="11"/>
      <c r="C33" s="12"/>
      <c r="D33" s="12"/>
      <c r="E33" s="12"/>
      <c r="F33" s="12"/>
      <c r="Q33" s="11"/>
    </row>
    <row r="34" spans="2:17" x14ac:dyDescent="0.25">
      <c r="B34" s="11"/>
      <c r="C34" s="12"/>
      <c r="D34" s="12"/>
      <c r="E34" s="12"/>
      <c r="F34" s="12"/>
      <c r="Q34" s="11"/>
    </row>
    <row r="35" spans="2:17" x14ac:dyDescent="0.25">
      <c r="B35" s="11"/>
      <c r="C35" s="12"/>
      <c r="D35" s="12"/>
      <c r="E35" s="12"/>
      <c r="F35" s="12"/>
      <c r="Q35" s="11"/>
    </row>
    <row r="36" spans="2:17" x14ac:dyDescent="0.25">
      <c r="B36" s="11"/>
      <c r="C36" s="12"/>
      <c r="D36" s="12"/>
      <c r="E36" s="12"/>
      <c r="F36" s="12"/>
      <c r="Q36" s="11"/>
    </row>
    <row r="37" spans="2:17" x14ac:dyDescent="0.25">
      <c r="B37" s="11"/>
      <c r="C37" s="12"/>
      <c r="D37" s="12"/>
      <c r="E37" s="12"/>
      <c r="F37" s="12"/>
      <c r="Q37" s="11"/>
    </row>
    <row r="38" spans="2:17" x14ac:dyDescent="0.25">
      <c r="B38" s="11"/>
      <c r="C38" s="12"/>
      <c r="D38" s="12"/>
      <c r="E38" s="12"/>
      <c r="F38" s="12"/>
      <c r="Q38" s="11"/>
    </row>
    <row r="39" spans="2:17" x14ac:dyDescent="0.25">
      <c r="B39" s="11"/>
      <c r="C39" s="12"/>
      <c r="D39" s="12"/>
      <c r="E39" s="12"/>
      <c r="F39" s="12"/>
      <c r="Q39" s="11"/>
    </row>
    <row r="40" spans="2:17" x14ac:dyDescent="0.25">
      <c r="B40" s="11"/>
      <c r="C40" s="12"/>
      <c r="D40" s="12"/>
      <c r="E40" s="12"/>
      <c r="F40" s="12"/>
      <c r="Q40" s="11"/>
    </row>
    <row r="41" spans="2:17" x14ac:dyDescent="0.25">
      <c r="B41" s="11"/>
      <c r="C41" s="12"/>
      <c r="D41" s="12"/>
      <c r="E41" s="12"/>
      <c r="F41" s="12"/>
      <c r="Q41" s="11"/>
    </row>
    <row r="42" spans="2:17" x14ac:dyDescent="0.25">
      <c r="B42" s="11"/>
      <c r="C42" s="12"/>
      <c r="D42" s="12"/>
      <c r="E42" s="12"/>
      <c r="F42" s="12"/>
      <c r="Q42" s="11"/>
    </row>
    <row r="43" spans="2:17" x14ac:dyDescent="0.25">
      <c r="B43" s="11"/>
      <c r="C43" s="12"/>
      <c r="D43" s="12"/>
      <c r="E43" s="12"/>
      <c r="F43" s="12"/>
      <c r="Q43" s="11"/>
    </row>
    <row r="44" spans="2:17" x14ac:dyDescent="0.25">
      <c r="B44" s="11"/>
      <c r="C44" s="12"/>
      <c r="D44" s="12"/>
      <c r="E44" s="12"/>
      <c r="F44" s="12"/>
      <c r="Q44" s="11"/>
    </row>
    <row r="45" spans="2:17" x14ac:dyDescent="0.25">
      <c r="B45" s="11"/>
      <c r="C45" s="12"/>
      <c r="D45" s="12"/>
      <c r="E45" s="12"/>
      <c r="F45" s="12"/>
      <c r="Q45" s="11"/>
    </row>
    <row r="46" spans="2:17" x14ac:dyDescent="0.25">
      <c r="B46" s="11"/>
      <c r="C46" s="12"/>
      <c r="D46" s="12"/>
      <c r="E46" s="12"/>
      <c r="F46" s="12"/>
      <c r="Q46" s="11"/>
    </row>
    <row r="47" spans="2:17" x14ac:dyDescent="0.25">
      <c r="B47" s="11"/>
      <c r="C47" s="12"/>
      <c r="D47" s="12"/>
      <c r="E47" s="12"/>
      <c r="F47" s="12"/>
      <c r="Q47" s="11"/>
    </row>
    <row r="48" spans="2:17" x14ac:dyDescent="0.25">
      <c r="B48" s="11"/>
      <c r="C48" s="12"/>
      <c r="D48" s="12"/>
      <c r="E48" s="12"/>
      <c r="F48" s="12"/>
      <c r="Q48" s="11"/>
    </row>
    <row r="49" spans="2:17" x14ac:dyDescent="0.25">
      <c r="B49" s="11"/>
      <c r="C49" s="12"/>
      <c r="D49" s="12"/>
      <c r="E49" s="12"/>
      <c r="F49" s="12"/>
      <c r="Q49" s="11"/>
    </row>
    <row r="50" spans="2:17" x14ac:dyDescent="0.25">
      <c r="B50" s="11"/>
      <c r="C50" s="12"/>
      <c r="D50" s="12"/>
      <c r="E50" s="12"/>
      <c r="F50" s="12"/>
      <c r="Q50" s="11"/>
    </row>
    <row r="51" spans="2:17" x14ac:dyDescent="0.25">
      <c r="B51" s="11"/>
      <c r="C51" s="12"/>
      <c r="D51" s="12"/>
      <c r="E51" s="12"/>
      <c r="F51" s="12"/>
      <c r="Q51" s="11"/>
    </row>
    <row r="52" spans="2:17" x14ac:dyDescent="0.25">
      <c r="B52" s="11"/>
      <c r="C52" s="12"/>
      <c r="D52" s="12"/>
      <c r="E52" s="12"/>
      <c r="F52" s="12"/>
      <c r="Q52" s="11"/>
    </row>
    <row r="53" spans="2:17" x14ac:dyDescent="0.25">
      <c r="B53" s="11"/>
      <c r="C53" s="12"/>
      <c r="D53" s="12"/>
      <c r="E53" s="12"/>
      <c r="F53" s="12"/>
      <c r="Q53" s="11"/>
    </row>
    <row r="54" spans="2:17" x14ac:dyDescent="0.25">
      <c r="B54" s="11"/>
      <c r="C54" s="12"/>
      <c r="D54" s="12"/>
      <c r="E54" s="12"/>
      <c r="F54" s="12"/>
      <c r="Q54" s="11"/>
    </row>
    <row r="55" spans="2:17" x14ac:dyDescent="0.25">
      <c r="B55" s="11"/>
      <c r="C55" s="12"/>
      <c r="D55" s="12"/>
      <c r="E55" s="12"/>
      <c r="F55" s="12"/>
      <c r="Q55" s="11"/>
    </row>
    <row r="56" spans="2:17" x14ac:dyDescent="0.25">
      <c r="B56" s="11"/>
      <c r="C56" s="12"/>
      <c r="D56" s="12"/>
      <c r="E56" s="12"/>
      <c r="F56" s="12"/>
      <c r="Q56" s="11"/>
    </row>
    <row r="57" spans="2:17" x14ac:dyDescent="0.25">
      <c r="B57" s="11"/>
      <c r="C57" s="12"/>
      <c r="D57" s="12"/>
      <c r="E57" s="12"/>
      <c r="F57" s="12"/>
      <c r="Q57" s="11"/>
    </row>
    <row r="58" spans="2:17" x14ac:dyDescent="0.25">
      <c r="B58" s="11"/>
      <c r="C58" s="12"/>
      <c r="D58" s="12"/>
      <c r="E58" s="12"/>
      <c r="F58" s="12"/>
      <c r="Q58" s="11"/>
    </row>
    <row r="59" spans="2:17" x14ac:dyDescent="0.25">
      <c r="B59" s="11"/>
      <c r="C59" s="12"/>
      <c r="D59" s="12"/>
      <c r="E59" s="12"/>
      <c r="F59" s="12"/>
      <c r="Q59" s="11"/>
    </row>
    <row r="60" spans="2:17" x14ac:dyDescent="0.25">
      <c r="B60" s="11"/>
      <c r="C60" s="12"/>
      <c r="D60" s="12"/>
      <c r="E60" s="12"/>
      <c r="F60" s="12"/>
      <c r="Q60" s="11"/>
    </row>
    <row r="61" spans="2:17" x14ac:dyDescent="0.25">
      <c r="B61" s="11"/>
      <c r="C61" s="12"/>
      <c r="D61" s="12"/>
      <c r="E61" s="12"/>
      <c r="F61" s="12"/>
      <c r="Q61" s="11"/>
    </row>
    <row r="62" spans="2:17" x14ac:dyDescent="0.25">
      <c r="B62" s="11"/>
      <c r="C62" s="12"/>
      <c r="D62" s="12"/>
      <c r="E62" s="12"/>
      <c r="F62" s="12"/>
      <c r="Q62" s="11"/>
    </row>
    <row r="63" spans="2:17" x14ac:dyDescent="0.25">
      <c r="B63" s="11"/>
      <c r="C63" s="12"/>
      <c r="D63" s="12"/>
      <c r="E63" s="12"/>
      <c r="F63" s="12"/>
      <c r="Q63" s="11"/>
    </row>
    <row r="64" spans="2:17" x14ac:dyDescent="0.25">
      <c r="B64" s="11"/>
      <c r="C64" s="12"/>
      <c r="D64" s="12"/>
      <c r="E64" s="12"/>
      <c r="F64" s="12"/>
      <c r="Q64" s="11"/>
    </row>
    <row r="65" spans="2:17" x14ac:dyDescent="0.25">
      <c r="B65" s="11"/>
      <c r="C65" s="12"/>
      <c r="D65" s="12"/>
      <c r="E65" s="12"/>
      <c r="F65" s="12"/>
      <c r="Q65" s="11"/>
    </row>
    <row r="66" spans="2:17" x14ac:dyDescent="0.25">
      <c r="B66" s="11"/>
      <c r="C66" s="12"/>
      <c r="D66" s="12"/>
      <c r="E66" s="12"/>
      <c r="F66" s="12"/>
      <c r="Q66" s="11"/>
    </row>
    <row r="67" spans="2:17" x14ac:dyDescent="0.25">
      <c r="B67" s="11"/>
      <c r="C67" s="12"/>
      <c r="D67" s="12"/>
      <c r="E67" s="12"/>
      <c r="F67" s="12"/>
      <c r="Q67" s="11"/>
    </row>
    <row r="68" spans="2:17" x14ac:dyDescent="0.25">
      <c r="B68" s="11"/>
      <c r="C68" s="12"/>
      <c r="D68" s="12"/>
      <c r="E68" s="12"/>
      <c r="F68" s="12"/>
      <c r="Q68" s="11"/>
    </row>
    <row r="69" spans="2:17" x14ac:dyDescent="0.25">
      <c r="B69" s="11"/>
      <c r="C69" s="12"/>
      <c r="D69" s="12"/>
      <c r="E69" s="12"/>
      <c r="F69" s="12"/>
      <c r="Q69" s="11"/>
    </row>
    <row r="70" spans="2:17" x14ac:dyDescent="0.25">
      <c r="B70" s="11"/>
      <c r="C70" s="12"/>
      <c r="D70" s="12"/>
      <c r="E70" s="12"/>
      <c r="F70" s="12"/>
      <c r="Q70" s="11"/>
    </row>
    <row r="71" spans="2:17" x14ac:dyDescent="0.25">
      <c r="B71" s="11"/>
      <c r="C71" s="12"/>
      <c r="D71" s="12"/>
      <c r="E71" s="12"/>
      <c r="F71" s="12"/>
      <c r="Q71" s="11"/>
    </row>
    <row r="72" spans="2:17" x14ac:dyDescent="0.25">
      <c r="B72" s="11"/>
      <c r="C72" s="12"/>
      <c r="D72" s="12"/>
      <c r="E72" s="12"/>
      <c r="F72" s="12"/>
      <c r="Q72" s="11"/>
    </row>
    <row r="73" spans="2:17" x14ac:dyDescent="0.25">
      <c r="B73" s="11"/>
      <c r="C73" s="12"/>
      <c r="D73" s="12"/>
      <c r="E73" s="12"/>
      <c r="F73" s="12"/>
      <c r="Q73" s="11"/>
    </row>
    <row r="74" spans="2:17" x14ac:dyDescent="0.25">
      <c r="B74" s="11"/>
      <c r="C74" s="12"/>
      <c r="D74" s="12"/>
      <c r="E74" s="12"/>
      <c r="F74" s="12"/>
      <c r="Q74" s="11"/>
    </row>
    <row r="75" spans="2:17" x14ac:dyDescent="0.25">
      <c r="B75" s="11"/>
      <c r="C75" s="11"/>
      <c r="D75" s="11"/>
      <c r="E75" s="11"/>
      <c r="F75" s="11"/>
      <c r="G75" s="11"/>
      <c r="H75" s="11"/>
      <c r="I75" s="11"/>
      <c r="J75" s="11"/>
      <c r="K75" s="11"/>
      <c r="L75" s="11"/>
      <c r="M75" s="11"/>
      <c r="N75" s="11"/>
      <c r="O75" s="11"/>
      <c r="P75" s="11"/>
      <c r="Q75" s="11"/>
    </row>
  </sheetData>
  <mergeCells count="1">
    <mergeCell ref="B2: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BED88-3DFD-4714-84B4-9627BC5882CF}">
  <dimension ref="A1:F44"/>
  <sheetViews>
    <sheetView workbookViewId="0">
      <selection sqref="A1:F44"/>
    </sheetView>
  </sheetViews>
  <sheetFormatPr defaultRowHeight="14.5" x14ac:dyDescent="0.35"/>
  <cols>
    <col min="1" max="1" width="11.7265625" customWidth="1"/>
    <col min="6" max="6" width="10.54296875" customWidth="1"/>
  </cols>
  <sheetData>
    <row r="1" spans="1:6" x14ac:dyDescent="0.35">
      <c r="A1" t="s">
        <v>0</v>
      </c>
      <c r="B1" t="s">
        <v>1</v>
      </c>
      <c r="C1" t="s">
        <v>2</v>
      </c>
      <c r="D1" t="s">
        <v>3</v>
      </c>
      <c r="E1" t="s">
        <v>4</v>
      </c>
      <c r="F1" t="s">
        <v>5</v>
      </c>
    </row>
    <row r="2" spans="1:6" x14ac:dyDescent="0.35">
      <c r="A2" s="1">
        <v>44202</v>
      </c>
      <c r="B2" t="s">
        <v>6</v>
      </c>
      <c r="C2" t="s">
        <v>7</v>
      </c>
      <c r="D2" t="s">
        <v>8</v>
      </c>
      <c r="E2">
        <v>95</v>
      </c>
      <c r="F2">
        <v>1.99</v>
      </c>
    </row>
    <row r="3" spans="1:6" x14ac:dyDescent="0.35">
      <c r="A3" s="1">
        <v>44219</v>
      </c>
      <c r="B3" t="s">
        <v>9</v>
      </c>
      <c r="C3" t="s">
        <v>10</v>
      </c>
      <c r="D3" t="s">
        <v>11</v>
      </c>
      <c r="E3">
        <v>50</v>
      </c>
      <c r="F3">
        <v>19.989999999999998</v>
      </c>
    </row>
    <row r="4" spans="1:6" x14ac:dyDescent="0.35">
      <c r="A4" s="1">
        <v>44236</v>
      </c>
      <c r="B4" t="s">
        <v>9</v>
      </c>
      <c r="C4" t="s">
        <v>12</v>
      </c>
      <c r="D4" t="s">
        <v>8</v>
      </c>
      <c r="E4">
        <v>36</v>
      </c>
      <c r="F4">
        <v>4.99</v>
      </c>
    </row>
    <row r="5" spans="1:6" x14ac:dyDescent="0.35">
      <c r="A5" s="1">
        <v>44253</v>
      </c>
      <c r="B5" t="s">
        <v>9</v>
      </c>
      <c r="C5" t="s">
        <v>13</v>
      </c>
      <c r="D5" t="s">
        <v>14</v>
      </c>
      <c r="E5">
        <v>27</v>
      </c>
      <c r="F5">
        <v>19.989999999999998</v>
      </c>
    </row>
    <row r="6" spans="1:6" x14ac:dyDescent="0.35">
      <c r="A6" s="1">
        <v>44270</v>
      </c>
      <c r="B6" t="s">
        <v>15</v>
      </c>
      <c r="C6" t="s">
        <v>16</v>
      </c>
      <c r="D6" t="s">
        <v>17</v>
      </c>
      <c r="E6">
        <v>56</v>
      </c>
      <c r="F6">
        <v>2.99</v>
      </c>
    </row>
    <row r="7" spans="1:6" x14ac:dyDescent="0.35">
      <c r="A7" s="1">
        <v>44287</v>
      </c>
      <c r="B7" t="s">
        <v>6</v>
      </c>
      <c r="C7" t="s">
        <v>18</v>
      </c>
      <c r="D7" t="s">
        <v>11</v>
      </c>
      <c r="E7">
        <v>60</v>
      </c>
      <c r="F7">
        <v>4.99</v>
      </c>
    </row>
    <row r="8" spans="1:6" x14ac:dyDescent="0.35">
      <c r="A8" s="1">
        <v>44304</v>
      </c>
      <c r="B8" t="s">
        <v>9</v>
      </c>
      <c r="C8" t="s">
        <v>19</v>
      </c>
      <c r="D8" t="s">
        <v>8</v>
      </c>
      <c r="E8">
        <v>75</v>
      </c>
      <c r="F8">
        <v>1.99</v>
      </c>
    </row>
    <row r="9" spans="1:6" x14ac:dyDescent="0.35">
      <c r="A9" s="1">
        <v>44321</v>
      </c>
      <c r="B9" t="s">
        <v>9</v>
      </c>
      <c r="C9" t="s">
        <v>12</v>
      </c>
      <c r="D9" t="s">
        <v>8</v>
      </c>
      <c r="E9">
        <v>90</v>
      </c>
      <c r="F9">
        <v>4.99</v>
      </c>
    </row>
    <row r="10" spans="1:6" x14ac:dyDescent="0.35">
      <c r="A10" s="1">
        <v>44338</v>
      </c>
      <c r="B10" t="s">
        <v>15</v>
      </c>
      <c r="C10" t="s">
        <v>20</v>
      </c>
      <c r="D10" t="s">
        <v>8</v>
      </c>
      <c r="E10">
        <v>32</v>
      </c>
      <c r="F10">
        <v>1.99</v>
      </c>
    </row>
    <row r="11" spans="1:6" x14ac:dyDescent="0.35">
      <c r="A11" s="1">
        <v>44355</v>
      </c>
      <c r="B11" t="s">
        <v>6</v>
      </c>
      <c r="C11" t="s">
        <v>7</v>
      </c>
      <c r="D11" t="s">
        <v>11</v>
      </c>
      <c r="E11">
        <v>60</v>
      </c>
      <c r="F11">
        <v>8.99</v>
      </c>
    </row>
    <row r="12" spans="1:6" x14ac:dyDescent="0.35">
      <c r="A12" s="1">
        <v>44369</v>
      </c>
      <c r="B12" t="s">
        <v>9</v>
      </c>
      <c r="C12" t="s">
        <v>21</v>
      </c>
      <c r="D12" t="s">
        <v>8</v>
      </c>
      <c r="E12">
        <v>90</v>
      </c>
      <c r="F12">
        <v>4.99</v>
      </c>
    </row>
    <row r="13" spans="1:6" x14ac:dyDescent="0.35">
      <c r="A13" s="1">
        <v>44389</v>
      </c>
      <c r="B13" t="s">
        <v>6</v>
      </c>
      <c r="C13" t="s">
        <v>22</v>
      </c>
      <c r="D13" t="s">
        <v>11</v>
      </c>
      <c r="E13">
        <v>29</v>
      </c>
      <c r="F13">
        <v>1.99</v>
      </c>
    </row>
    <row r="14" spans="1:6" x14ac:dyDescent="0.35">
      <c r="A14" s="1">
        <v>44406</v>
      </c>
      <c r="B14" t="s">
        <v>6</v>
      </c>
      <c r="C14" t="s">
        <v>23</v>
      </c>
      <c r="D14" t="s">
        <v>11</v>
      </c>
      <c r="E14">
        <v>81</v>
      </c>
      <c r="F14">
        <v>19.989999999999998</v>
      </c>
    </row>
    <row r="15" spans="1:6" x14ac:dyDescent="0.35">
      <c r="A15" s="1">
        <v>44423</v>
      </c>
      <c r="B15" t="s">
        <v>6</v>
      </c>
      <c r="C15" t="s">
        <v>7</v>
      </c>
      <c r="D15" t="s">
        <v>8</v>
      </c>
      <c r="E15">
        <v>35</v>
      </c>
      <c r="F15">
        <v>4.99</v>
      </c>
    </row>
    <row r="16" spans="1:6" x14ac:dyDescent="0.35">
      <c r="A16" s="1">
        <v>44440</v>
      </c>
      <c r="B16" t="s">
        <v>9</v>
      </c>
      <c r="C16" t="s">
        <v>24</v>
      </c>
      <c r="D16" t="s">
        <v>25</v>
      </c>
      <c r="E16">
        <v>2</v>
      </c>
      <c r="F16">
        <v>125</v>
      </c>
    </row>
    <row r="17" spans="1:6" x14ac:dyDescent="0.35">
      <c r="A17" s="1">
        <v>44457</v>
      </c>
      <c r="B17" t="s">
        <v>6</v>
      </c>
      <c r="C17" t="s">
        <v>7</v>
      </c>
      <c r="D17" t="s">
        <v>26</v>
      </c>
      <c r="E17">
        <v>16</v>
      </c>
      <c r="F17">
        <v>15.99</v>
      </c>
    </row>
    <row r="18" spans="1:6" x14ac:dyDescent="0.35">
      <c r="A18" s="1">
        <v>44474</v>
      </c>
      <c r="B18" t="s">
        <v>9</v>
      </c>
      <c r="C18" t="s">
        <v>21</v>
      </c>
      <c r="D18" t="s">
        <v>11</v>
      </c>
      <c r="E18">
        <v>28</v>
      </c>
      <c r="F18">
        <v>8.99</v>
      </c>
    </row>
    <row r="19" spans="1:6" x14ac:dyDescent="0.35">
      <c r="A19" s="1">
        <v>44491</v>
      </c>
      <c r="B19" t="s">
        <v>6</v>
      </c>
      <c r="C19" t="s">
        <v>7</v>
      </c>
      <c r="D19" t="s">
        <v>14</v>
      </c>
      <c r="E19">
        <v>64</v>
      </c>
      <c r="F19">
        <v>8.99</v>
      </c>
    </row>
    <row r="20" spans="1:6" x14ac:dyDescent="0.35">
      <c r="A20" s="1">
        <v>44508</v>
      </c>
      <c r="B20" t="s">
        <v>27</v>
      </c>
      <c r="C20" t="s">
        <v>23</v>
      </c>
      <c r="D20" t="s">
        <v>14</v>
      </c>
      <c r="E20">
        <v>15</v>
      </c>
      <c r="F20">
        <v>19.989999999999998</v>
      </c>
    </row>
    <row r="21" spans="1:6" x14ac:dyDescent="0.35">
      <c r="A21" s="1">
        <v>44525</v>
      </c>
      <c r="B21" t="s">
        <v>9</v>
      </c>
      <c r="C21" t="s">
        <v>10</v>
      </c>
      <c r="D21" t="s">
        <v>26</v>
      </c>
      <c r="E21">
        <v>96</v>
      </c>
      <c r="F21">
        <v>4.99</v>
      </c>
    </row>
    <row r="22" spans="1:6" x14ac:dyDescent="0.35">
      <c r="A22" s="1">
        <v>44542</v>
      </c>
      <c r="B22" t="s">
        <v>9</v>
      </c>
      <c r="C22" t="s">
        <v>24</v>
      </c>
      <c r="D22" t="s">
        <v>17</v>
      </c>
      <c r="E22">
        <v>67</v>
      </c>
      <c r="F22">
        <v>1.29</v>
      </c>
    </row>
    <row r="23" spans="1:6" x14ac:dyDescent="0.35">
      <c r="A23" s="1">
        <v>44559</v>
      </c>
      <c r="B23" t="s">
        <v>6</v>
      </c>
      <c r="C23" t="s">
        <v>28</v>
      </c>
      <c r="D23" t="s">
        <v>26</v>
      </c>
      <c r="E23">
        <v>74</v>
      </c>
      <c r="F23">
        <v>15.99</v>
      </c>
    </row>
    <row r="24" spans="1:6" x14ac:dyDescent="0.35">
      <c r="A24" s="1">
        <v>44576</v>
      </c>
      <c r="B24" t="s">
        <v>9</v>
      </c>
      <c r="C24" t="s">
        <v>13</v>
      </c>
      <c r="D24" t="s">
        <v>11</v>
      </c>
      <c r="E24">
        <v>46</v>
      </c>
      <c r="F24">
        <v>8.99</v>
      </c>
    </row>
    <row r="25" spans="1:6" x14ac:dyDescent="0.35">
      <c r="A25" s="1">
        <v>44593</v>
      </c>
      <c r="B25" t="s">
        <v>9</v>
      </c>
      <c r="C25" t="s">
        <v>24</v>
      </c>
      <c r="D25" t="s">
        <v>11</v>
      </c>
      <c r="E25">
        <v>87</v>
      </c>
      <c r="F25">
        <v>15</v>
      </c>
    </row>
    <row r="26" spans="1:6" x14ac:dyDescent="0.35">
      <c r="A26" s="1">
        <v>44610</v>
      </c>
      <c r="B26" t="s">
        <v>6</v>
      </c>
      <c r="C26" t="s">
        <v>7</v>
      </c>
      <c r="D26" t="s">
        <v>11</v>
      </c>
      <c r="E26">
        <v>4</v>
      </c>
      <c r="F26">
        <v>4.99</v>
      </c>
    </row>
    <row r="27" spans="1:6" x14ac:dyDescent="0.35">
      <c r="A27" s="1">
        <v>44627</v>
      </c>
      <c r="B27" t="s">
        <v>15</v>
      </c>
      <c r="C27" t="s">
        <v>16</v>
      </c>
      <c r="D27" t="s">
        <v>11</v>
      </c>
      <c r="E27">
        <v>7</v>
      </c>
      <c r="F27">
        <v>19.989999999999998</v>
      </c>
    </row>
    <row r="28" spans="1:6" x14ac:dyDescent="0.35">
      <c r="A28" s="1">
        <v>44644</v>
      </c>
      <c r="B28" t="s">
        <v>9</v>
      </c>
      <c r="C28" t="s">
        <v>12</v>
      </c>
      <c r="D28" t="s">
        <v>26</v>
      </c>
      <c r="E28">
        <v>50</v>
      </c>
      <c r="F28">
        <v>4.99</v>
      </c>
    </row>
    <row r="29" spans="1:6" x14ac:dyDescent="0.35">
      <c r="A29" s="1">
        <v>44661</v>
      </c>
      <c r="B29" t="s">
        <v>9</v>
      </c>
      <c r="C29" t="s">
        <v>19</v>
      </c>
      <c r="D29" t="s">
        <v>8</v>
      </c>
      <c r="E29">
        <v>66</v>
      </c>
      <c r="F29">
        <v>1.99</v>
      </c>
    </row>
    <row r="30" spans="1:6" x14ac:dyDescent="0.35">
      <c r="A30" s="1">
        <v>44678</v>
      </c>
      <c r="B30" t="s">
        <v>6</v>
      </c>
      <c r="C30" t="s">
        <v>22</v>
      </c>
      <c r="D30" t="s">
        <v>14</v>
      </c>
      <c r="E30">
        <v>96</v>
      </c>
      <c r="F30">
        <v>4.99</v>
      </c>
    </row>
    <row r="31" spans="1:6" x14ac:dyDescent="0.35">
      <c r="A31" s="1">
        <v>44695</v>
      </c>
      <c r="B31" t="s">
        <v>9</v>
      </c>
      <c r="C31" t="s">
        <v>13</v>
      </c>
      <c r="D31" t="s">
        <v>8</v>
      </c>
      <c r="E31">
        <v>53</v>
      </c>
      <c r="F31">
        <v>1.29</v>
      </c>
    </row>
    <row r="32" spans="1:6" x14ac:dyDescent="0.35">
      <c r="A32" s="1">
        <v>44712</v>
      </c>
      <c r="B32" t="s">
        <v>9</v>
      </c>
      <c r="C32" t="s">
        <v>13</v>
      </c>
      <c r="D32" t="s">
        <v>11</v>
      </c>
      <c r="E32">
        <v>80</v>
      </c>
      <c r="F32">
        <v>8.99</v>
      </c>
    </row>
    <row r="33" spans="1:6" x14ac:dyDescent="0.35">
      <c r="A33" s="1">
        <v>44729</v>
      </c>
      <c r="B33" t="s">
        <v>9</v>
      </c>
      <c r="C33" t="s">
        <v>10</v>
      </c>
      <c r="D33" t="s">
        <v>25</v>
      </c>
      <c r="E33">
        <v>5</v>
      </c>
      <c r="F33">
        <v>125</v>
      </c>
    </row>
    <row r="34" spans="1:6" x14ac:dyDescent="0.35">
      <c r="A34" s="1">
        <v>44746</v>
      </c>
      <c r="B34" t="s">
        <v>6</v>
      </c>
      <c r="C34" t="s">
        <v>7</v>
      </c>
      <c r="D34" t="s">
        <v>26</v>
      </c>
      <c r="E34">
        <v>62</v>
      </c>
      <c r="F34">
        <v>4.99</v>
      </c>
    </row>
    <row r="35" spans="1:6" x14ac:dyDescent="0.35">
      <c r="A35" s="1">
        <v>44763</v>
      </c>
      <c r="B35" t="s">
        <v>9</v>
      </c>
      <c r="C35" t="s">
        <v>21</v>
      </c>
      <c r="D35" t="s">
        <v>26</v>
      </c>
      <c r="E35">
        <v>55</v>
      </c>
      <c r="F35">
        <v>12.49</v>
      </c>
    </row>
    <row r="36" spans="1:6" x14ac:dyDescent="0.35">
      <c r="A36" s="1">
        <v>44780</v>
      </c>
      <c r="B36" t="s">
        <v>9</v>
      </c>
      <c r="C36" t="s">
        <v>10</v>
      </c>
      <c r="D36" t="s">
        <v>26</v>
      </c>
      <c r="E36">
        <v>42</v>
      </c>
      <c r="F36">
        <v>23.95</v>
      </c>
    </row>
    <row r="37" spans="1:6" x14ac:dyDescent="0.35">
      <c r="A37" s="1">
        <v>44798</v>
      </c>
      <c r="B37" t="s">
        <v>15</v>
      </c>
      <c r="C37" t="s">
        <v>16</v>
      </c>
      <c r="D37" t="s">
        <v>25</v>
      </c>
      <c r="E37">
        <v>3</v>
      </c>
      <c r="F37">
        <v>275</v>
      </c>
    </row>
    <row r="38" spans="1:6" x14ac:dyDescent="0.35">
      <c r="A38" s="1">
        <v>44814</v>
      </c>
      <c r="B38" t="s">
        <v>9</v>
      </c>
      <c r="C38" t="s">
        <v>29</v>
      </c>
      <c r="D38" t="s">
        <v>8</v>
      </c>
      <c r="E38">
        <v>7</v>
      </c>
      <c r="F38">
        <v>1.29</v>
      </c>
    </row>
    <row r="39" spans="1:6" x14ac:dyDescent="0.35">
      <c r="A39" s="1">
        <v>44831</v>
      </c>
      <c r="B39" t="s">
        <v>30</v>
      </c>
      <c r="C39" t="s">
        <v>16</v>
      </c>
      <c r="D39" t="s">
        <v>14</v>
      </c>
      <c r="E39">
        <v>76</v>
      </c>
      <c r="F39">
        <v>1.99</v>
      </c>
    </row>
    <row r="40" spans="1:6" x14ac:dyDescent="0.35">
      <c r="A40" s="1">
        <v>44848</v>
      </c>
      <c r="B40" t="s">
        <v>15</v>
      </c>
      <c r="C40" t="s">
        <v>20</v>
      </c>
      <c r="D40" t="s">
        <v>11</v>
      </c>
      <c r="E40">
        <v>57</v>
      </c>
      <c r="F40">
        <v>19.989999999999998</v>
      </c>
    </row>
    <row r="41" spans="1:6" x14ac:dyDescent="0.35">
      <c r="A41" s="1">
        <v>44865</v>
      </c>
      <c r="B41" t="s">
        <v>9</v>
      </c>
      <c r="C41" t="s">
        <v>19</v>
      </c>
      <c r="D41" t="s">
        <v>8</v>
      </c>
      <c r="E41">
        <v>14</v>
      </c>
      <c r="F41">
        <v>1.29</v>
      </c>
    </row>
    <row r="42" spans="1:6" x14ac:dyDescent="0.35">
      <c r="A42" s="1">
        <v>44882</v>
      </c>
      <c r="B42" t="s">
        <v>9</v>
      </c>
      <c r="C42" t="s">
        <v>12</v>
      </c>
      <c r="D42" t="s">
        <v>31</v>
      </c>
      <c r="E42">
        <v>11</v>
      </c>
      <c r="F42">
        <v>4.99</v>
      </c>
    </row>
    <row r="43" spans="1:6" x14ac:dyDescent="0.35">
      <c r="A43" s="1">
        <v>44663</v>
      </c>
      <c r="B43" t="s">
        <v>9</v>
      </c>
      <c r="C43" t="s">
        <v>12</v>
      </c>
      <c r="D43" t="s">
        <v>11</v>
      </c>
      <c r="E43">
        <v>94</v>
      </c>
      <c r="F43">
        <v>19.989999999999998</v>
      </c>
    </row>
    <row r="44" spans="1:6" x14ac:dyDescent="0.35">
      <c r="A44" s="1">
        <v>44916</v>
      </c>
      <c r="B44" t="s">
        <v>9</v>
      </c>
      <c r="C44" t="s">
        <v>19</v>
      </c>
      <c r="D44" t="s">
        <v>11</v>
      </c>
      <c r="E44">
        <v>28</v>
      </c>
      <c r="F44">
        <v>4.99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812FB6-D121-4ED3-BACD-663A99FBDB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SalesRep_Insights</vt:lpstr>
      <vt:lpstr>Regions_Insight</vt:lpstr>
      <vt:lpstr>Items_Insights</vt:lpstr>
      <vt:lpstr>Perf. Overtime</vt:lpstr>
      <vt:lpstr>E1x_Store</vt:lpstr>
      <vt:lpstr>DASHBOARD</vt:lpstr>
      <vt:lpstr>E1X_Store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Aliyu Gosta</cp:lastModifiedBy>
  <dcterms:created xsi:type="dcterms:W3CDTF">2025-03-09T02:30:13Z</dcterms:created>
  <dcterms:modified xsi:type="dcterms:W3CDTF">2025-10-08T09:29:17Z</dcterms:modified>
</cp:coreProperties>
</file>